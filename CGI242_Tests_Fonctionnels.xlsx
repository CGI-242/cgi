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ecene.mabika\Downloads\"/>
    </mc:Choice>
  </mc:AlternateContent>
  <xr:revisionPtr revIDLastSave="0" documentId="13_ncr:1_{61857BC7-3CCC-48A3-A012-6A5EBD386DE6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📊 Tableau de Bord" sheetId="1" r:id="rId1"/>
    <sheet name="🧪 Tests" sheetId="2" r:id="rId2"/>
    <sheet name="🐛 Bugs &amp; Évolutions" sheetId="3" r:id="rId3"/>
    <sheet name="📘 Guide" sheetId="4" r:id="rId4"/>
  </sheets>
  <definedNames>
    <definedName name="_xlnm._FilterDatabase" localSheetId="2" hidden="1">'🐛 Bugs &amp; Évolutions'!$A$3:$I$53</definedName>
    <definedName name="_xlnm._FilterDatabase" localSheetId="1" hidden="1">'🧪 Tests'!$A$3:$K$90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53" i="3" l="1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G16" i="1"/>
  <c r="F16" i="1"/>
  <c r="E16" i="1"/>
  <c r="D16" i="1"/>
  <c r="H16" i="1" s="1"/>
  <c r="G15" i="1"/>
  <c r="F15" i="1"/>
  <c r="E15" i="1"/>
  <c r="D15" i="1"/>
  <c r="H15" i="1" s="1"/>
  <c r="G14" i="1"/>
  <c r="F14" i="1"/>
  <c r="E14" i="1"/>
  <c r="D14" i="1"/>
  <c r="H14" i="1" s="1"/>
  <c r="G13" i="1"/>
  <c r="F13" i="1"/>
  <c r="E13" i="1"/>
  <c r="D13" i="1"/>
  <c r="H13" i="1" s="1"/>
  <c r="G12" i="1"/>
  <c r="F12" i="1"/>
  <c r="E12" i="1"/>
  <c r="D12" i="1"/>
  <c r="H12" i="1" s="1"/>
  <c r="H11" i="1"/>
  <c r="G11" i="1"/>
  <c r="F11" i="1"/>
  <c r="E11" i="1"/>
  <c r="D11" i="1"/>
  <c r="G10" i="1"/>
  <c r="F10" i="1"/>
  <c r="E10" i="1"/>
  <c r="D10" i="1"/>
  <c r="H10" i="1" s="1"/>
  <c r="G9" i="1"/>
  <c r="F9" i="1"/>
  <c r="E9" i="1"/>
  <c r="D9" i="1"/>
  <c r="H9" i="1" s="1"/>
  <c r="G8" i="1"/>
  <c r="F8" i="1"/>
  <c r="E8" i="1"/>
  <c r="D8" i="1"/>
  <c r="H8" i="1" s="1"/>
  <c r="G7" i="1"/>
  <c r="F7" i="1"/>
  <c r="E7" i="1"/>
  <c r="D7" i="1"/>
  <c r="H7" i="1" s="1"/>
  <c r="G6" i="1"/>
  <c r="F6" i="1"/>
  <c r="E6" i="1"/>
  <c r="D6" i="1"/>
  <c r="H6" i="1" s="1"/>
  <c r="G5" i="1"/>
  <c r="F5" i="1"/>
  <c r="E5" i="1"/>
  <c r="D5" i="1"/>
  <c r="H5" i="1" s="1"/>
</calcChain>
</file>

<file path=xl/sharedStrings.xml><?xml version="1.0" encoding="utf-8"?>
<sst xmlns="http://schemas.openxmlformats.org/spreadsheetml/2006/main" count="738" uniqueCount="471">
  <si>
    <t>CGI 242 — Plan de Tests Fonctionnels</t>
  </si>
  <si>
    <t>NORMX AI SAS  ·  Testeur : Christelle  ·  Version 1.0  ·  Généré le 23/03/2026</t>
  </si>
  <si>
    <t>Module</t>
  </si>
  <si>
    <t>Emoji</t>
  </si>
  <si>
    <t>Tests Total</t>
  </si>
  <si>
    <t>✅ PASS</t>
  </si>
  <si>
    <t>❌ FAIL</t>
  </si>
  <si>
    <t>⚠️ PARTIEL</t>
  </si>
  <si>
    <t>☐ À tester</t>
  </si>
  <si>
    <t>% Avancement</t>
  </si>
  <si>
    <t>🔐  Authentification</t>
  </si>
  <si>
    <t>🔐</t>
  </si>
  <si>
    <t>Authentification</t>
  </si>
  <si>
    <t>🏠  Accueil (Home)</t>
  </si>
  <si>
    <t>🏠</t>
  </si>
  <si>
    <t>Accueil (Home)</t>
  </si>
  <si>
    <t>📖  Navigation CGI</t>
  </si>
  <si>
    <t>📖</t>
  </si>
  <si>
    <t>Navigation CGI</t>
  </si>
  <si>
    <t>🔍  Recherche</t>
  </si>
  <si>
    <t>🔍</t>
  </si>
  <si>
    <t>Recherche</t>
  </si>
  <si>
    <t>📊  Simulateurs</t>
  </si>
  <si>
    <t>📊</t>
  </si>
  <si>
    <t>Simulateurs</t>
  </si>
  <si>
    <t>🤖  Assistant IA</t>
  </si>
  <si>
    <t>🤖</t>
  </si>
  <si>
    <t>Assistant IA</t>
  </si>
  <si>
    <t>📅  Calendrier Fiscal</t>
  </si>
  <si>
    <t>📅</t>
  </si>
  <si>
    <t>Calendrier Fiscal</t>
  </si>
  <si>
    <t>👤  Profil &amp; Abonnement</t>
  </si>
  <si>
    <t>👤</t>
  </si>
  <si>
    <t>Profil &amp; Abonnement</t>
  </si>
  <si>
    <t>🔓  FREE Trial</t>
  </si>
  <si>
    <t>🔓</t>
  </si>
  <si>
    <t>FREE Trial</t>
  </si>
  <si>
    <t>⚡  Performance</t>
  </si>
  <si>
    <t>⚡</t>
  </si>
  <si>
    <t>Performance</t>
  </si>
  <si>
    <t>📱  UX Mobile</t>
  </si>
  <si>
    <t>📱</t>
  </si>
  <si>
    <t>UX Mobile</t>
  </si>
  <si>
    <t>📊  TOTAL GÉNÉRAL</t>
  </si>
  <si>
    <t>LÉGENDE DES STATUTS</t>
  </si>
  <si>
    <t>Test non encore exécuté</t>
  </si>
  <si>
    <t>Test réussi — comportement conforme</t>
  </si>
  <si>
    <t>Test échoué — bug à corriger dans la feuille Bugs</t>
  </si>
  <si>
    <t>Test partiellement réussi — à surveiller</t>
  </si>
  <si>
    <t>🚫 N/A</t>
  </si>
  <si>
    <t>Test non applicable dans ce contexte</t>
  </si>
  <si>
    <t>CGI 242 — Grille de Tests Fonctionnels Interactive</t>
  </si>
  <si>
    <t>Modifiez la colonne STATUT avec la liste déroulante · Ajoutez vos commentaires et bugs dans les colonnes I et J · Utilisez les filtres (ligne 3)</t>
  </si>
  <si>
    <t>MODULE</t>
  </si>
  <si>
    <t>ID TEST</t>
  </si>
  <si>
    <t>DESCRIPTION</t>
  </si>
  <si>
    <t>ACTIONS À EFFECTUER</t>
  </si>
  <si>
    <t>RÉSULTAT ATTENDU</t>
  </si>
  <si>
    <t>PRIORITÉ</t>
  </si>
  <si>
    <t>STATUT</t>
  </si>
  <si>
    <t>DATE TEST</t>
  </si>
  <si>
    <t>🐛 COMMENTAIRE / BUG</t>
  </si>
  <si>
    <t>💡 BESOIN D'ÉVOLUTION</t>
  </si>
  <si>
    <t>TESTÉ PAR</t>
  </si>
  <si>
    <t>AUTH-01</t>
  </si>
  <si>
    <t>Inscription nouveau compte</t>
  </si>
  <si>
    <t>Taper email + mot de passe → Appuyer sur 'S'inscrire'</t>
  </si>
  <si>
    <t>Compte créé, email de confirmation envoyé, redirection écran accueil</t>
  </si>
  <si>
    <t>CRITIQUE</t>
  </si>
  <si>
    <t>AUTH-02</t>
  </si>
  <si>
    <t>Connexion avec compte existant</t>
  </si>
  <si>
    <t>Entrer identifiants corrects → Connexion</t>
  </si>
  <si>
    <t>Accès tableau de bord, session ouverte, nom affiché en haut</t>
  </si>
  <si>
    <t>AUTH-03</t>
  </si>
  <si>
    <t>Mot de passe incorrect (3 tentatives)</t>
  </si>
  <si>
    <t>Entrer un mot de passe erroné 3 fois de suite</t>
  </si>
  <si>
    <t>Message d'erreur clair, blocage temporaire après 3 échecs</t>
  </si>
  <si>
    <t>HAUTE</t>
  </si>
  <si>
    <t>AUTH-04</t>
  </si>
  <si>
    <t>Réinitialisation mot de passe</t>
  </si>
  <si>
    <t>Cliquer 'Mot de passe oublié' → saisir email → valider</t>
  </si>
  <si>
    <t>Email de réinitialisation reçu dans les 2 minutes</t>
  </si>
  <si>
    <t>AUTH-05</t>
  </si>
  <si>
    <t>Déconnexion</t>
  </si>
  <si>
    <t>Aller dans Profil → Déconnexion</t>
  </si>
  <si>
    <t>Session fermée, retour à l'écran de connexion</t>
  </si>
  <si>
    <t>NORMALE</t>
  </si>
  <si>
    <t>AUTH-06</t>
  </si>
  <si>
    <t>Accès sans connexion (lien direct)</t>
  </si>
  <si>
    <t>Tenter d'accéder à un article sans être connecté</t>
  </si>
  <si>
    <t>Redirection vers l'écran de connexion</t>
  </si>
  <si>
    <t>HOME-01</t>
  </si>
  <si>
    <t>Affichage tableau de bord</t>
  </si>
  <si>
    <t>Se connecter et observer l'écran Home</t>
  </si>
  <si>
    <t>Accueil avec dernières consultations, prochaine échéance fiscale, accès rapides</t>
  </si>
  <si>
    <t>HOME-02</t>
  </si>
  <si>
    <t>Raccourcis de navigation fonctionnels</t>
  </si>
  <si>
    <t>Tapper les 4 raccourcis (CGI, IA, Simul, Profil)</t>
  </si>
  <si>
    <t>Chaque raccourci ouvre le bon module sans délai</t>
  </si>
  <si>
    <t>HOME-03</t>
  </si>
  <si>
    <t>Historique des consultations récentes</t>
  </si>
  <si>
    <t>Consulter 3 articles → Revenir à l'accueil</t>
  </si>
  <si>
    <t>Les 3 articles apparaissent dans 'Dernières consultations'</t>
  </si>
  <si>
    <t>HOME-04</t>
  </si>
  <si>
    <t>Alerte prochaine échéance fiscale</t>
  </si>
  <si>
    <t>Observer la carte d'échéance sur l'accueil</t>
  </si>
  <si>
    <t>Echéance fiscale la plus proche affichée (ex: TVA Avr)</t>
  </si>
  <si>
    <t>CGI-01</t>
  </si>
  <si>
    <t>Navigation Tome → Titre → Chapitre → Article</t>
  </si>
  <si>
    <t>Taper sur Tome 1 → Titre I (ITS) → Chapitre 1 → Article 1</t>
  </si>
  <si>
    <t>Arborescence complète parcourue, contenu article affiché</t>
  </si>
  <si>
    <t>CGI-02</t>
  </si>
  <si>
    <t>Affichage complet d'un article</t>
  </si>
  <si>
    <t>Ouvrir n'importe quel article du CGI</t>
  </si>
  <si>
    <t>Numéro, titre, texte intégral lisible, boutons Favoris + Partage visibles</t>
  </si>
  <si>
    <t>CGI-03</t>
  </si>
  <si>
    <t>Navigation Tome 2 (TVA)</t>
  </si>
  <si>
    <t>Tome 2 → Titre I → TVA → premier article TVA</t>
  </si>
  <si>
    <t>Article TVA s'affiche avec texte complet</t>
  </si>
  <si>
    <t>CGI-04</t>
  </si>
  <si>
    <t>Navigation Tome 3 (Patente)</t>
  </si>
  <si>
    <t>Tome 3 → Patente → premier article</t>
  </si>
  <si>
    <t>Article affiché correctement</t>
  </si>
  <si>
    <t>CGI-05</t>
  </si>
  <si>
    <t>TFNC (Taxe sur les Flux Numériques)</t>
  </si>
  <si>
    <t>Accéder à la section TFNC</t>
  </si>
  <si>
    <t>Articles TFNC listés et accessibles</t>
  </si>
  <si>
    <t>CGI-06</t>
  </si>
  <si>
    <t>Bouton Retour (breadcrumb)</t>
  </si>
  <si>
    <t>Naviguer 4 niveaux → cliquer Retour 4 fois</t>
  </si>
  <si>
    <t>Chaque retour remonte d'un niveau sans bug</t>
  </si>
  <si>
    <t>CGI-07</t>
  </si>
  <si>
    <t>Ajout article en Favoris</t>
  </si>
  <si>
    <t>Ouvrir un article → tapper l'étoile</t>
  </si>
  <si>
    <t>Article ajouté aux favoris, étoile devient dorée</t>
  </si>
  <si>
    <t>CGI-08</t>
  </si>
  <si>
    <t>Retrait article des Favoris</t>
  </si>
  <si>
    <t>Tapper à nouveau sur l'étoile dorée</t>
  </si>
  <si>
    <t>Article retiré des favoris, étoile redevient vide</t>
  </si>
  <si>
    <t>CGI-09</t>
  </si>
  <si>
    <t>Liste des Favoris</t>
  </si>
  <si>
    <t>Aller dans Profil → Favoris</t>
  </si>
  <si>
    <t>Liste des articles mis en favoris affichée</t>
  </si>
  <si>
    <t>CGI-10</t>
  </si>
  <si>
    <t>Partage d'un article</t>
  </si>
  <si>
    <t>Ouvrir un article → bouton Partager</t>
  </si>
  <si>
    <t>Feuille de partage Android s'ouvre avec lien de l'article</t>
  </si>
  <si>
    <t>CGI-11</t>
  </si>
  <si>
    <t>Lecture audio (text-to-speech)</t>
  </si>
  <si>
    <t>Ouvrir un article → bouton audio</t>
  </si>
  <si>
    <t>Synthèse vocale lit le contenu en français</t>
  </si>
  <si>
    <t>CGI-12</t>
  </si>
  <si>
    <t>Mode hors-ligne</t>
  </si>
  <si>
    <t>Couper le Wi-Fi → rouvrir un article consulté</t>
  </si>
  <si>
    <t>Article s'affiche depuis le cache local</t>
  </si>
  <si>
    <t>CGI-13</t>
  </si>
  <si>
    <t>2 263 articles présents</t>
  </si>
  <si>
    <t>Vérifier le compteur total d'articles</t>
  </si>
  <si>
    <t>Total = 2 263 articles (3 tomes + TFNC)</t>
  </si>
  <si>
    <t>RECH-01</t>
  </si>
  <si>
    <t>Recherche par numéro d'article</t>
  </si>
  <si>
    <t>Taper 'Art. 45' dans la barre de recherche</t>
  </si>
  <si>
    <t>Article 45 affiché en premier résultat</t>
  </si>
  <si>
    <t>RECH-02</t>
  </si>
  <si>
    <t>Recherche par mot-clé</t>
  </si>
  <si>
    <t>Taper 'taxe sur la valeur ajoutée'</t>
  </si>
  <si>
    <t>Articles TVA listés par pertinence</t>
  </si>
  <si>
    <t>RECH-03</t>
  </si>
  <si>
    <t>Recherche sans accent</t>
  </si>
  <si>
    <t>Taper 'impot sur le revenu' (sans accent)</t>
  </si>
  <si>
    <t>Résultats pertinents malgré l'absence d'accent</t>
  </si>
  <si>
    <t>RECH-04</t>
  </si>
  <si>
    <t>Recherche vocale</t>
  </si>
  <si>
    <t>Appuyer sur micro → dicter 'impôt sur les sociétés'</t>
  </si>
  <si>
    <t>Reconnaissance vocale, résultats IS affichés</t>
  </si>
  <si>
    <t>RECH-05</t>
  </si>
  <si>
    <t>Recherche sans résultat</t>
  </si>
  <si>
    <t>Taper une chaîne aléatoire (ex: 'zzqwerty123')</t>
  </si>
  <si>
    <t>Message 'Aucun résultat' proprement, pas de crash</t>
  </si>
  <si>
    <t>RECH-06</t>
  </si>
  <si>
    <t>Résultat → accès direct article</t>
  </si>
  <si>
    <t>Effectuer une recherche → tapper sur un résultat</t>
  </si>
  <si>
    <t>Article sélectionné s'ouvre en lecture</t>
  </si>
  <si>
    <t>SIM-01</t>
  </si>
  <si>
    <t>Simulateur ITS</t>
  </si>
  <si>
    <t>Salaire brut = 500 000 FCFA → calculer</t>
  </si>
  <si>
    <t>Résultat ITS correct avec barème, références articles citées</t>
  </si>
  <si>
    <t>SIM-02</t>
  </si>
  <si>
    <t>Simulateur IS</t>
  </si>
  <si>
    <t>Bénéfice imposable = 10 000 000 FCFA → calculer</t>
  </si>
  <si>
    <t>IS calculé selon taux en vigueur (30% ou 35%)</t>
  </si>
  <si>
    <t>SIM-03</t>
  </si>
  <si>
    <t>Simulateur TVA</t>
  </si>
  <si>
    <t>Montant HT = 1 000 000 FCFA → calculer</t>
  </si>
  <si>
    <t>TVA = 180 000 FCFA (18%), TTC affiché</t>
  </si>
  <si>
    <t>SIM-04</t>
  </si>
  <si>
    <t>Simulateur Paie Congo</t>
  </si>
  <si>
    <t>Brut = 300 000 + ancienneté 5 ans → simuler</t>
  </si>
  <si>
    <t>Fiche de paie avec cotisations CNSS, ITS, net à payer</t>
  </si>
  <si>
    <t>SIM-05</t>
  </si>
  <si>
    <t>Retenue à la Source</t>
  </si>
  <si>
    <t>Honoraire = 500 000 FCFA → RAS 10%</t>
  </si>
  <si>
    <t>RAS = 50 000 FCFA, montant net 450 000 FCFA</t>
  </si>
  <si>
    <t>SIM-06</t>
  </si>
  <si>
    <t>Simulateur Patente</t>
  </si>
  <si>
    <t>Renseigner CA + activité → calculer</t>
  </si>
  <si>
    <t>Montant patente calculé selon la grille réglementaire</t>
  </si>
  <si>
    <t>SIM-07</t>
  </si>
  <si>
    <t>Simulateur IBA</t>
  </si>
  <si>
    <t>Renseigner revenu agricole → calculer</t>
  </si>
  <si>
    <t>IBA calculé, barème affiché</t>
  </si>
  <si>
    <t>SIM-08</t>
  </si>
  <si>
    <t>Simulateur IRCM</t>
  </si>
  <si>
    <t>Dividendes = 2 000 000 FCFA → calculer</t>
  </si>
  <si>
    <t>IRCM calculé (taux 20% applicable)</t>
  </si>
  <si>
    <t>SIM-09</t>
  </si>
  <si>
    <t>Simulateur IRF (Loyers)</t>
  </si>
  <si>
    <t>Loyer mensuel = 200 000 FCFA → IRF annuel</t>
  </si>
  <si>
    <t>IRF calculé avec abattement forfaitaire</t>
  </si>
  <si>
    <t>SIM-10</t>
  </si>
  <si>
    <t>Taxe Immobilière</t>
  </si>
  <si>
    <t>Valeur vénale = 30 000 000 FCFA → calculer</t>
  </si>
  <si>
    <t>Taxe calculée selon le taux applicable</t>
  </si>
  <si>
    <t>SIM-11</t>
  </si>
  <si>
    <t>Droits d'Enregistrement</t>
  </si>
  <si>
    <t>Saisir valeur de cession → calculer</t>
  </si>
  <si>
    <t>Droits calculés selon la nature de l'acte</t>
  </si>
  <si>
    <t>SIM-12</t>
  </si>
  <si>
    <t>Cession de Parts Sociales</t>
  </si>
  <si>
    <t>Prix cession = 5 000 000 FCFA → calculer</t>
  </si>
  <si>
    <t>Droits de cession calculés avec références CGI</t>
  </si>
  <si>
    <t>SIM-13</t>
  </si>
  <si>
    <t>Contribution Foncière</t>
  </si>
  <si>
    <t>Saisir surface + localisation → calculer</t>
  </si>
  <si>
    <t>Contribution foncière calculée</t>
  </si>
  <si>
    <t>SIM-14</t>
  </si>
  <si>
    <t>Simulateur IGF</t>
  </si>
  <si>
    <t>Patrimoine net = 500 000 000 FCFA → calculer</t>
  </si>
  <si>
    <t>IGF calculé selon barème IGF</t>
  </si>
  <si>
    <t>SIM-15</t>
  </si>
  <si>
    <t>IS Parapétrolier</t>
  </si>
  <si>
    <t>Saisir résultat fiscal parapétrolier → calculer</t>
  </si>
  <si>
    <t>IS avec taux parapétrolier appliqué</t>
  </si>
  <si>
    <t>SIM-16</t>
  </si>
  <si>
    <t>Solde de Liquidation</t>
  </si>
  <si>
    <t>Renseigner actifs nets → calculer</t>
  </si>
  <si>
    <t>Impôt sur solde de liquidation calculé</t>
  </si>
  <si>
    <t>SIM-17</t>
  </si>
  <si>
    <t>Lien article de référence depuis simulateur</t>
  </si>
  <si>
    <t>Après calcul, appuyer sur l'article cité</t>
  </si>
  <si>
    <t>Article CGI de référence s'ouvre directement</t>
  </si>
  <si>
    <t>SIM-18</t>
  </si>
  <si>
    <t>Saisie invalide (lettres dans champ num.)</t>
  </si>
  <si>
    <t>Taper 'abc' dans un champ numérique</t>
  </si>
  <si>
    <t>Message d'erreur, pas de crash</t>
  </si>
  <si>
    <t>SIM-19</t>
  </si>
  <si>
    <t>Remise à zéro simulateur</t>
  </si>
  <si>
    <t>Après calcul → Réinitialiser</t>
  </si>
  <si>
    <t>Tous les champs remis à zéro</t>
  </si>
  <si>
    <t>IA-01</t>
  </si>
  <si>
    <t>Question fiscale générale</t>
  </si>
  <si>
    <t>Taper: 'Quel est le taux d'IS au Congo-Brazzaville ?'</t>
  </si>
  <si>
    <t>Réponse correcte avec citation article source</t>
  </si>
  <si>
    <t>IA-02</t>
  </si>
  <si>
    <t>Question sur article spécifique</t>
  </si>
  <si>
    <t>Taper: 'Que dit l'article 147 du CGI ?'</t>
  </si>
  <si>
    <t>Résumé fidèle + lien cliquable vers l'article</t>
  </si>
  <si>
    <t>IA-03</t>
  </si>
  <si>
    <t>Question sur la TVA</t>
  </si>
  <si>
    <t>Taper: 'Quelles opérations sont exonérées de TVA ?'</t>
  </si>
  <si>
    <t>Liste des exonérations TVA avec articles</t>
  </si>
  <si>
    <t>IA-04</t>
  </si>
  <si>
    <t>Question calcul ITS</t>
  </si>
  <si>
    <t>Taper: 'Comment calculer l'ITS sur 600 000 FCFA ?'</t>
  </si>
  <si>
    <t>Calcul ITS détaillé pas à pas avec barème</t>
  </si>
  <si>
    <t>IA-05</t>
  </si>
  <si>
    <t>Question hors scope CGI</t>
  </si>
  <si>
    <t>Taper: 'Quelle est la capitale de la France ?'</t>
  </si>
  <si>
    <t>Réponse indiquant que l'IA est spécialisée CGI 242</t>
  </si>
  <si>
    <t>IA-06</t>
  </si>
  <si>
    <t>Citation article cliquable</t>
  </si>
  <si>
    <t>Poser une question → cliquer sur l'article cité</t>
  </si>
  <si>
    <t>L'article CGI s'ouvre dans le module CGI</t>
  </si>
  <si>
    <t>IA-07</t>
  </si>
  <si>
    <t>Streaming temps réel</t>
  </si>
  <si>
    <t>Poser une question et observer l'affichage</t>
  </si>
  <si>
    <t>Réponse apparaît mot par mot, indicateur visible</t>
  </si>
  <si>
    <t>IA-08</t>
  </si>
  <si>
    <t>Compteur de questions (quota)</t>
  </si>
  <si>
    <t>Vérifier le quota restant dans l'interface IA</t>
  </si>
  <si>
    <t>Compteur affiché (ex: 14/15 questions restantes)</t>
  </si>
  <si>
    <t>IA-09</t>
  </si>
  <si>
    <t>Quota épuisé - message upgrade</t>
  </si>
  <si>
    <t>Épuiser le quota → envoyer une nouvelle question</t>
  </si>
  <si>
    <t>Message clair d'upgrade, pas de crash</t>
  </si>
  <si>
    <t>IA-10</t>
  </si>
  <si>
    <t>Historique de conversation</t>
  </si>
  <si>
    <t>Poser 3 questions → observer le fil</t>
  </si>
  <si>
    <t>Historique conservé dans la session</t>
  </si>
  <si>
    <t>IA-11</t>
  </si>
  <si>
    <t>Suggestions pré-saisies (Home IA)</t>
  </si>
  <si>
    <t>Accéder à l'onglet IA sans rien écrire</t>
  </si>
  <si>
    <t>4 suggestions de questions s'affichent</t>
  </si>
  <si>
    <t>IA-12</t>
  </si>
  <si>
    <t>Sélection d'une suggestion</t>
  </si>
  <si>
    <t>Tapper sur une des suggestions proposées</t>
  </si>
  <si>
    <t>La suggestion se charge, réponse IA s'affiche</t>
  </si>
  <si>
    <t>CAL-01</t>
  </si>
  <si>
    <t>Affichage du calendrier fiscal</t>
  </si>
  <si>
    <t>Aller dans Plus → Calendrier fiscal</t>
  </si>
  <si>
    <t>Toutes les échéances 2026 affichées (TVA, IS, ITS, Patente...)</t>
  </si>
  <si>
    <t>CAL-02</t>
  </si>
  <si>
    <t>Détail d'une échéance</t>
  </si>
  <si>
    <t>Tapper sur une échéance (ex: TVA Avril)</t>
  </si>
  <si>
    <t>Détail: date limite, impôt, article de référence</t>
  </si>
  <si>
    <t>CAL-03</t>
  </si>
  <si>
    <t>Notification push J-5</t>
  </si>
  <si>
    <t>Vérifier une notification de rappel</t>
  </si>
  <si>
    <t>Notification reçue 5 jours avant l'échéance</t>
  </si>
  <si>
    <t>CAL-04</t>
  </si>
  <si>
    <t>Filtrer par type d'impôt</t>
  </si>
  <si>
    <t>Filtrer le calendrier sur 'IS seulement'</t>
  </si>
  <si>
    <t>Seules les échéances IS affichées</t>
  </si>
  <si>
    <t>PROF-01</t>
  </si>
  <si>
    <t>Affichage informations compte</t>
  </si>
  <si>
    <t>Aller dans Profil</t>
  </si>
  <si>
    <t>Nom, email, plan actuel, quota restant affichés</t>
  </si>
  <si>
    <t>PROF-02</t>
  </si>
  <si>
    <t>Modification du profil</t>
  </si>
  <si>
    <t>Modifier le nom → Sauvegarder</t>
  </si>
  <si>
    <t>Nom mis à jour, confirmation affichée</t>
  </si>
  <si>
    <t>PROF-03</t>
  </si>
  <si>
    <t>Affichage du plan actuel</t>
  </si>
  <si>
    <t>Observer la section abonnement dans Profil</t>
  </si>
  <si>
    <t>Plan actif (FREE/STARTER/PRO/TEAM/ENTERPRISE) affiché</t>
  </si>
  <si>
    <t>PROF-04</t>
  </si>
  <si>
    <t>Passage à un plan supérieur</t>
  </si>
  <si>
    <t>Tapper sur 'Améliorer mon plan'</t>
  </si>
  <si>
    <t>Page de souscription ouverte avec les plans disponibles</t>
  </si>
  <si>
    <t>PROF-05</t>
  </si>
  <si>
    <t>Accès liste Favoris</t>
  </si>
  <si>
    <t>Profil → Favoris</t>
  </si>
  <si>
    <t>Tous les articles mis en favoris listés</t>
  </si>
  <si>
    <t>PROF-06</t>
  </si>
  <si>
    <t>Paramètre langue (FR/EN)</t>
  </si>
  <si>
    <t>Profil → Langue → English</t>
  </si>
  <si>
    <t>Interface passe en anglais</t>
  </si>
  <si>
    <t>PROF-07</t>
  </si>
  <si>
    <t>Paramètre notifications</t>
  </si>
  <si>
    <t>Profil → Notifications → Désactiver</t>
  </si>
  <si>
    <t>Notifications push désactivées</t>
  </si>
  <si>
    <t>FREE-01</t>
  </si>
  <si>
    <t>Accès complet pendant 7 jours</t>
  </si>
  <si>
    <t>Créer un compte FREE → tester tous les modules dans les 7 jours</t>
  </si>
  <si>
    <t>Accès illimité à tous les modules pendant 7 jours</t>
  </si>
  <si>
    <t>FREE-02</t>
  </si>
  <si>
    <t>Expiration FREE après J+7</t>
  </si>
  <si>
    <t>Attendre J+8 → tenter d'accéder à l'IA</t>
  </si>
  <si>
    <t>Message 'Essai terminé', redirection souscription</t>
  </si>
  <si>
    <t>FREE-03</t>
  </si>
  <si>
    <t>Quota 5 questions IA (post-expiration)</t>
  </si>
  <si>
    <t>Envoyer 6 questions IA sur plan FREE expiré</t>
  </si>
  <si>
    <t>Blocage à la 6ème question avec message d'upgrade</t>
  </si>
  <si>
    <t>FREE-04</t>
  </si>
  <si>
    <t>Quota 3 audits documents</t>
  </si>
  <si>
    <t>Soumettre 4 documents en audit</t>
  </si>
  <si>
    <t>Blocage au 4ème avec message d'upgrade</t>
  </si>
  <si>
    <t>PERF-01</t>
  </si>
  <si>
    <t>Temps de chargement initial</t>
  </si>
  <si>
    <t>Lancer l'app à froid (premier lancement)</t>
  </si>
  <si>
    <t>Ecran d'accueil chargé en moins de 3 secondes</t>
  </si>
  <si>
    <t>PERF-02</t>
  </si>
  <si>
    <t>Navigation entre onglets</t>
  </si>
  <si>
    <t>Switcher rapidement entre tous les onglets</t>
  </si>
  <si>
    <t>Chaque onglet s'affiche en moins de 1 seconde</t>
  </si>
  <si>
    <t>PERF-03</t>
  </si>
  <si>
    <t>Ouverture d'un article</t>
  </si>
  <si>
    <t>Tapper sur un article depuis la liste</t>
  </si>
  <si>
    <t>Article affiché en moins de 2 secondes</t>
  </si>
  <si>
    <t>PERF-04</t>
  </si>
  <si>
    <t>Calcul simulateur</t>
  </si>
  <si>
    <t>Lancer un calcul sur n'importe quel simulateur</t>
  </si>
  <si>
    <t>Résultat en moins de 2 secondes</t>
  </si>
  <si>
    <t>PERF-05</t>
  </si>
  <si>
    <t>Réponse IA (premier token)</t>
  </si>
  <si>
    <t>Envoyer une question IA et mesurer le délai</t>
  </si>
  <si>
    <t>Premier mot apparaît en moins de 3 secondes</t>
  </si>
  <si>
    <t>PERF-06</t>
  </si>
  <si>
    <t>Test connexion 3G (Congo)</t>
  </si>
  <si>
    <t>Simuler une connexion lente (3G)</t>
  </si>
  <si>
    <t>App reste utilisable, pas de timeout</t>
  </si>
  <si>
    <t>UX-01</t>
  </si>
  <si>
    <t>Responsivité petits écrans</t>
  </si>
  <si>
    <t>Tester sur smartphone 5 pouces</t>
  </si>
  <si>
    <t>Aucun texte coupé, boutons accessibles, pas de scroll horizontal non voulu</t>
  </si>
  <si>
    <t>UX-02</t>
  </si>
  <si>
    <t>Responsivité tablette</t>
  </si>
  <si>
    <t>Ouvrir l'app sur tablette Android</t>
  </si>
  <si>
    <t>Mise en page adaptée, pas de déformation</t>
  </si>
  <si>
    <t>UX-03</t>
  </si>
  <si>
    <t>Mode sombre automatique</t>
  </si>
  <si>
    <t>Activer le mode sombre du téléphone</t>
  </si>
  <si>
    <t>App s'adapte (thème sombre CGI 242)</t>
  </si>
  <si>
    <t>UX-04</t>
  </si>
  <si>
    <t>Agrandissement texte système</t>
  </si>
  <si>
    <t>Augmenter la taille de police système</t>
  </si>
  <si>
    <t>Texte s'agrandit sans déformer les mises en page</t>
  </si>
  <si>
    <t>UX-05</t>
  </si>
  <si>
    <t>Retour bouton physique Android</t>
  </si>
  <si>
    <t>Naviguer en profondeur → bouton Retour Android</t>
  </si>
  <si>
    <t>Comportement cohérent (remonte d'un niveau)</t>
  </si>
  <si>
    <t>UX-06</t>
  </si>
  <si>
    <t>Scroll fluide liste articles</t>
  </si>
  <si>
    <t>Faire défiler une longue liste sans s'arrêter</t>
  </si>
  <si>
    <t>Scroll fluide, pas de freeze ou saut de contenu</t>
  </si>
  <si>
    <t>CGI 242 — Registre des Bugs &amp; Besoins d'Évolution</t>
  </si>
  <si>
    <t>Consignez ici tous les bugs détectés et besoins d'amélioration identifiés pendant les tests</t>
  </si>
  <si>
    <t>#</t>
  </si>
  <si>
    <t>ID Test</t>
  </si>
  <si>
    <t>Description du problème</t>
  </si>
  <si>
    <t>Comportement observé / Détail</t>
  </si>
  <si>
    <t>Type</t>
  </si>
  <si>
    <t>Priorité</t>
  </si>
  <si>
    <t>Statut résolution</t>
  </si>
  <si>
    <t>Date détection</t>
  </si>
  <si>
    <t>CGI 242 — Guide d'utilisation du fichier de tests</t>
  </si>
  <si>
    <t xml:space="preserve">  🎯  COMMENT UTILISER CE FICHIER</t>
  </si>
  <si>
    <t>1. Aller dans la feuille '🧪 Tests'</t>
  </si>
  <si>
    <t>C'est ici que vous exécutez les tests un par un</t>
  </si>
  <si>
    <t>2. Lire les colonnes D et E</t>
  </si>
  <si>
    <t>Actions à effectuer et résultat attendu pour chaque test</t>
  </si>
  <si>
    <t>3. Changer le STATUT (colonne G)</t>
  </si>
  <si>
    <t>Cliquer sur la cellule → choisir dans la liste déroulante</t>
  </si>
  <si>
    <t>4. Remplir la date de test (colonne H)</t>
  </si>
  <si>
    <t>Indiquer la date à laquelle vous avez exécuté le test</t>
  </si>
  <si>
    <t>5. Écrire les bugs (colonne I)</t>
  </si>
  <si>
    <t>Décrivez le comportement observé si FAIL ou PARTIEL</t>
  </si>
  <si>
    <t>6. Écrire les évolutions (colonne J)</t>
  </si>
  <si>
    <t>Notez toute idée d'amélioration ou fonctionnalité manquante</t>
  </si>
  <si>
    <t>7. Consulter le Tableau de Bord</t>
  </si>
  <si>
    <t>La feuille '📊 Tableau de Bord' se met à jour automatiquement</t>
  </si>
  <si>
    <t>8. Reporter les bugs dans '🐛 Bugs'</t>
  </si>
  <si>
    <t>Consignez les bugs détectés dans le registre dédié</t>
  </si>
  <si>
    <t xml:space="preserve">  📊  TABLEAU DE BORD</t>
  </si>
  <si>
    <t>Mise à jour automatique</t>
  </si>
  <si>
    <t>Les compteurs PASS/FAIL/PARTIEL se calculent en temps réel</t>
  </si>
  <si>
    <t>Calculé automatiquement selon les tests PASS + PARTIEL × 50%</t>
  </si>
  <si>
    <t>Filtres disponibles</t>
  </si>
  <si>
    <t>Utilisez les filtres de la feuille Tests pour travailler module par module</t>
  </si>
  <si>
    <t xml:space="preserve">  🔵  CODES PRIORITÉ</t>
  </si>
  <si>
    <t>À tester en PREMIER — bloque la mise en production si FAIL</t>
  </si>
  <si>
    <t>À tester avant la mise en production</t>
  </si>
  <si>
    <t>À tester lors des tests complets</t>
  </si>
  <si>
    <t>BASSE</t>
  </si>
  <si>
    <t>Peut être testé après la mise en production</t>
  </si>
  <si>
    <t xml:space="preserve">  🐛  REGISTRE BUGS</t>
  </si>
  <si>
    <t>Type BUG</t>
  </si>
  <si>
    <t>Comportement anormal, crash, erreur d'affichage</t>
  </si>
  <si>
    <t>Type EVOLUTION</t>
  </si>
  <si>
    <t>Fonctionnalité absente ou à améliorer</t>
  </si>
  <si>
    <t>Type QUESTION</t>
  </si>
  <si>
    <t>Point à clarifier avec l'équipe technique</t>
  </si>
  <si>
    <t>Type BLOCANT</t>
  </si>
  <si>
    <t>Empêche complètement l'utilisation de la fonctionnalité</t>
  </si>
  <si>
    <t xml:space="preserve">  ✅  CRITÈRES MISE EN PRODUCTION</t>
  </si>
  <si>
    <t>Minimum requis</t>
  </si>
  <si>
    <t>100% des tests CRITIQUE en PASS ou N/A</t>
  </si>
  <si>
    <t>Recommandé</t>
  </si>
  <si>
    <t>80% de tous les tests en PASS</t>
  </si>
  <si>
    <t>Aucun bug BLOQUANT</t>
  </si>
  <si>
    <t>Tous les bugs BLOQUANT doivent être CORRIGE avant lancement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</si>
</sst>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C8A03C"/>
      <name val="Arial"/>
      <charset val="1"/>
    </font>
    <font>
      <b/>
      <sz val="10"/>
      <color rgb="FFFFFFFF"/>
      <name val="Arial"/>
      <charset val="1"/>
    </font>
    <font>
      <b/>
      <sz val="10"/>
      <color rgb="FF1A1A2E"/>
      <name val="Arial"/>
      <charset val="1"/>
    </font>
    <font>
      <sz val="14"/>
      <name val="Arial"/>
      <charset val="1"/>
    </font>
    <font>
      <b/>
      <sz val="10"/>
      <color rgb="FF1B5E20"/>
      <name val="Arial"/>
      <charset val="1"/>
    </font>
    <font>
      <b/>
      <sz val="10"/>
      <color rgb="FFB71C1C"/>
      <name val="Arial"/>
      <charset val="1"/>
    </font>
    <font>
      <b/>
      <sz val="10"/>
      <color rgb="FFF57F17"/>
      <name val="Arial"/>
      <charset val="1"/>
    </font>
    <font>
      <b/>
      <sz val="10"/>
      <name val="Arial"/>
      <charset val="1"/>
    </font>
    <font>
      <sz val="8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0D47A1"/>
      <name val="Arial"/>
      <charset val="1"/>
    </font>
    <font>
      <sz val="9"/>
      <color rgb="FF444444"/>
      <name val="Arial"/>
      <charset val="1"/>
    </font>
    <font>
      <b/>
      <sz val="10"/>
      <color rgb="FF757575"/>
      <name val="Arial"/>
      <charset val="1"/>
    </font>
    <font>
      <b/>
      <sz val="16"/>
      <color rgb="FFFFFFFF"/>
      <name val="Arial"/>
      <charset val="1"/>
    </font>
    <font>
      <i/>
      <sz val="9"/>
      <color rgb="FFC8A03C"/>
      <name val="Arial"/>
      <charset val="1"/>
    </font>
    <font>
      <b/>
      <sz val="9"/>
      <color rgb="FFFFFFFF"/>
      <name val="Arial"/>
      <charset val="1"/>
    </font>
    <font>
      <b/>
      <sz val="9"/>
      <color rgb="FF1A1A2E"/>
      <name val="Arial"/>
      <charset val="1"/>
    </font>
    <font>
      <b/>
      <sz val="9"/>
      <color rgb="FFC8A03C"/>
      <name val="Arial"/>
      <charset val="1"/>
    </font>
    <font>
      <sz val="9"/>
      <name val="Arial"/>
      <charset val="1"/>
    </font>
    <font>
      <b/>
      <sz val="9"/>
      <color rgb="FFB71C1C"/>
      <name val="Arial"/>
      <charset val="1"/>
    </font>
    <font>
      <b/>
      <sz val="9"/>
      <color rgb="FF0D47A1"/>
      <name val="Arial"/>
      <charset val="1"/>
    </font>
    <font>
      <b/>
      <sz val="9"/>
      <color rgb="FFE65100"/>
      <name val="Arial"/>
      <charset val="1"/>
    </font>
    <font>
      <b/>
      <sz val="9"/>
      <color rgb="FF1565C0"/>
      <name val="Arial"/>
      <charset val="1"/>
    </font>
    <font>
      <b/>
      <sz val="14"/>
      <color rgb="FFFFFFFF"/>
      <name val="Arial"/>
      <charset val="1"/>
    </font>
    <font>
      <sz val="9"/>
      <color rgb="FF888888"/>
      <name val="Arial"/>
      <charset val="1"/>
    </font>
    <font>
      <sz val="10"/>
      <color rgb="FF444444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A1A2E"/>
        <bgColor rgb="FF2A2A4E"/>
      </patternFill>
    </fill>
    <fill>
      <patternFill patternType="solid">
        <fgColor rgb="FF2A2A4E"/>
        <bgColor rgb="FF1A1A2E"/>
      </patternFill>
    </fill>
    <fill>
      <patternFill patternType="solid">
        <fgColor rgb="FFFFFFFF"/>
        <bgColor rgb="FFF8FFF8"/>
      </patternFill>
    </fill>
    <fill>
      <patternFill patternType="solid">
        <fgColor rgb="FFF5F5F7"/>
        <bgColor rgb="FFFFF8F8"/>
      </patternFill>
    </fill>
    <fill>
      <patternFill patternType="solid">
        <fgColor rgb="FFC8A03C"/>
        <bgColor rgb="FFF57F17"/>
      </patternFill>
    </fill>
    <fill>
      <patternFill patternType="solid">
        <fgColor rgb="FFE8E8EC"/>
        <bgColor rgb="FFEEEEEE"/>
      </patternFill>
    </fill>
    <fill>
      <patternFill patternType="solid">
        <fgColor rgb="FFE3F2FD"/>
        <bgColor rgb="FFEEEEEE"/>
      </patternFill>
    </fill>
    <fill>
      <patternFill patternType="solid">
        <fgColor rgb="FFC8E6C9"/>
        <bgColor rgb="FFCCCCCC"/>
      </patternFill>
    </fill>
    <fill>
      <patternFill patternType="solid">
        <fgColor rgb="FFFFCDD2"/>
        <bgColor rgb="FFFFE0E0"/>
      </patternFill>
    </fill>
    <fill>
      <patternFill patternType="solid">
        <fgColor rgb="FFFFF9C4"/>
        <bgColor rgb="FFFFF3E0"/>
      </patternFill>
    </fill>
    <fill>
      <patternFill patternType="solid">
        <fgColor rgb="FFEEEEEE"/>
        <bgColor rgb="FFE8E8EC"/>
      </patternFill>
    </fill>
    <fill>
      <patternFill patternType="solid">
        <fgColor rgb="FFFFE0E0"/>
        <bgColor rgb="FFE8E8EC"/>
      </patternFill>
    </fill>
    <fill>
      <patternFill patternType="solid">
        <fgColor rgb="FFFFF8F8"/>
        <bgColor rgb="FFFFFFFF"/>
      </patternFill>
    </fill>
    <fill>
      <patternFill patternType="solid">
        <fgColor rgb="FFF8FFF8"/>
        <bgColor rgb="FFFFFFFF"/>
      </patternFill>
    </fill>
    <fill>
      <patternFill patternType="solid">
        <fgColor rgb="FFFFF3E0"/>
        <bgColor rgb="FFFFF8F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1" fillId="3" borderId="0" xfId="0" applyFont="1" applyFill="1" applyBorder="1"/>
    <xf numFmtId="0" fontId="25" fillId="2" borderId="0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4" fillId="7" borderId="0" xfId="0" applyFont="1" applyFill="1" applyBorder="1"/>
    <xf numFmtId="0" fontId="2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0" fillId="4" borderId="0" xfId="0" applyFont="1" applyFill="1"/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21" fillId="13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left" vertical="center" wrapText="1"/>
    </xf>
    <xf numFmtId="0" fontId="20" fillId="15" borderId="1" xfId="0" applyFont="1" applyFill="1" applyBorder="1" applyAlignment="1">
      <alignment horizontal="left" vertical="center" wrapText="1"/>
    </xf>
    <xf numFmtId="0" fontId="23" fillId="16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4" fillId="0" borderId="0" xfId="0" applyFont="1"/>
    <xf numFmtId="0" fontId="27" fillId="0" borderId="0" xfId="0" applyFont="1"/>
    <xf numFmtId="0" fontId="18" fillId="4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696"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757575"/>
        <name val="Arial"/>
        <charset val="1"/>
      </font>
      <fill>
        <patternFill>
          <bgColor rgb="FFEEEEEE"/>
        </patternFill>
      </fill>
    </dxf>
    <dxf>
      <font>
        <sz val="9"/>
        <color rgb="FFF57F17"/>
        <name val="Arial"/>
        <charset val="1"/>
      </font>
      <fill>
        <patternFill>
          <bgColor rgb="FFFFF9C4"/>
        </patternFill>
      </fill>
    </dxf>
    <dxf>
      <font>
        <sz val="9"/>
        <color rgb="FFB71C1C"/>
        <name val="Arial"/>
        <charset val="1"/>
      </font>
      <fill>
        <patternFill>
          <bgColor rgb="FFFFCDD2"/>
        </patternFill>
      </fill>
    </dxf>
    <dxf>
      <font>
        <sz val="9"/>
        <color rgb="FF1B5E20"/>
        <name val="Arial"/>
        <charset val="1"/>
      </font>
      <fill>
        <patternFill>
          <bgColor rgb="FFC8E6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8FFF8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9C4"/>
      <rgbColor rgb="FFE3F2FD"/>
      <rgbColor rgb="FF660066"/>
      <rgbColor rgb="FFFF8080"/>
      <rgbColor rgb="FF1565C0"/>
      <rgbColor rgb="FFE8E8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8E6C9"/>
      <rgbColor rgb="FFFFF3E0"/>
      <rgbColor rgb="FFF5F5F7"/>
      <rgbColor rgb="FFFFE0E0"/>
      <rgbColor rgb="FFFFF8F8"/>
      <rgbColor rgb="FFFFCDD2"/>
      <rgbColor rgb="FF3366FF"/>
      <rgbColor rgb="FF33CCCC"/>
      <rgbColor rgb="FF99CC00"/>
      <rgbColor rgb="FFFFCC00"/>
      <rgbColor rgb="FFF57F17"/>
      <rgbColor rgb="FFE65100"/>
      <rgbColor rgb="FF757575"/>
      <rgbColor rgb="FFC8A03C"/>
      <rgbColor rgb="FF0D47A1"/>
      <rgbColor rgb="FF2E7D32"/>
      <rgbColor rgb="FF1A1A2E"/>
      <rgbColor rgb="FF444444"/>
      <rgbColor rgb="FFB71C1C"/>
      <rgbColor rgb="FF993366"/>
      <rgbColor rgb="FF333399"/>
      <rgbColor rgb="FF2A2A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8A03C"/>
  </sheetPr>
  <dimension ref="A1:I23"/>
  <sheetViews>
    <sheetView showGridLines="0" zoomScaleNormal="100" workbookViewId="0">
      <pane ySplit="4" topLeftCell="A5" activePane="bottomLeft" state="frozen"/>
      <selection pane="bottomLeft" activeCell="D5" sqref="D5"/>
    </sheetView>
  </sheetViews>
  <sheetFormatPr baseColWidth="10" defaultColWidth="8.6640625" defaultRowHeight="14.4" x14ac:dyDescent="0.3"/>
  <cols>
    <col min="1" max="1" width="28" customWidth="1"/>
    <col min="2" max="2" width="8" customWidth="1"/>
    <col min="3" max="3" width="14" customWidth="1"/>
    <col min="4" max="7" width="12" customWidth="1"/>
    <col min="8" max="8" width="16" customWidth="1"/>
    <col min="9" max="9" width="0.109375" customWidth="1"/>
  </cols>
  <sheetData>
    <row r="1" spans="1:9" ht="39.75" customHeight="1" x14ac:dyDescent="0.3">
      <c r="A1" s="8" t="s">
        <v>0</v>
      </c>
      <c r="B1" s="8"/>
      <c r="C1" s="8"/>
      <c r="D1" s="8"/>
      <c r="E1" s="8"/>
      <c r="F1" s="8"/>
      <c r="G1" s="8"/>
      <c r="H1" s="8"/>
    </row>
    <row r="2" spans="1:9" ht="21.75" customHeight="1" x14ac:dyDescent="0.3">
      <c r="A2" s="7" t="s">
        <v>1</v>
      </c>
      <c r="B2" s="7"/>
      <c r="C2" s="7"/>
      <c r="D2" s="7"/>
      <c r="E2" s="7"/>
      <c r="F2" s="7"/>
      <c r="G2" s="7"/>
      <c r="H2" s="7"/>
    </row>
    <row r="3" spans="1:9" ht="9.75" customHeight="1" x14ac:dyDescent="0.3"/>
    <row r="4" spans="1:9" ht="21.75" customHeight="1" x14ac:dyDescent="0.3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</row>
    <row r="5" spans="1:9" ht="24" customHeight="1" x14ac:dyDescent="0.3">
      <c r="A5" s="10" t="s">
        <v>10</v>
      </c>
      <c r="B5" s="11" t="s">
        <v>11</v>
      </c>
      <c r="C5" s="12">
        <v>6</v>
      </c>
      <c r="D5" s="13">
        <f>COUNTIFS('🧪 Tests'!A:A,I5,'🧪 Tests'!G:G,"✅ PASS")</f>
        <v>0</v>
      </c>
      <c r="E5" s="14">
        <f>COUNTIFS('🧪 Tests'!A:A,I5,'🧪 Tests'!G:G,"❌ FAIL")</f>
        <v>0</v>
      </c>
      <c r="F5" s="15">
        <f>COUNTIFS('🧪 Tests'!A:A,I5,'🧪 Tests'!G:G,"⚠️ PARTIEL")</f>
        <v>0</v>
      </c>
      <c r="G5" s="16">
        <f>COUNTIFS('🧪 Tests'!A:A,I5,'🧪 Tests'!G:G,"☐ À tester")</f>
        <v>6</v>
      </c>
      <c r="H5" s="17" t="str">
        <f t="shared" ref="H5:H16" si="0">IF(C5&gt;0,ROUND((D5+F5*0.5)/C5*100,1)&amp;"%","0%")</f>
        <v>0%</v>
      </c>
      <c r="I5" s="18" t="s">
        <v>12</v>
      </c>
    </row>
    <row r="6" spans="1:9" ht="24" customHeight="1" x14ac:dyDescent="0.3">
      <c r="A6" s="19" t="s">
        <v>13</v>
      </c>
      <c r="B6" s="20" t="s">
        <v>14</v>
      </c>
      <c r="C6" s="21">
        <v>4</v>
      </c>
      <c r="D6" s="22">
        <f>COUNTIFS('🧪 Tests'!A:A,I6,'🧪 Tests'!G:G,"✅ PASS")</f>
        <v>0</v>
      </c>
      <c r="E6" s="23">
        <f>COUNTIFS('🧪 Tests'!A:A,I6,'🧪 Tests'!G:G,"❌ FAIL")</f>
        <v>0</v>
      </c>
      <c r="F6" s="24">
        <f>COUNTIFS('🧪 Tests'!A:A,I6,'🧪 Tests'!G:G,"⚠️ PARTIEL")</f>
        <v>0</v>
      </c>
      <c r="G6" s="25">
        <f>COUNTIFS('🧪 Tests'!A:A,I6,'🧪 Tests'!G:G,"☐ À tester")</f>
        <v>4</v>
      </c>
      <c r="H6" s="26" t="str">
        <f t="shared" si="0"/>
        <v>0%</v>
      </c>
      <c r="I6" s="18" t="s">
        <v>15</v>
      </c>
    </row>
    <row r="7" spans="1:9" ht="24" customHeight="1" x14ac:dyDescent="0.3">
      <c r="A7" s="10" t="s">
        <v>16</v>
      </c>
      <c r="B7" s="11" t="s">
        <v>17</v>
      </c>
      <c r="C7" s="12">
        <v>13</v>
      </c>
      <c r="D7" s="13">
        <f>COUNTIFS('🧪 Tests'!A:A,I7,'🧪 Tests'!G:G,"✅ PASS")</f>
        <v>0</v>
      </c>
      <c r="E7" s="14">
        <f>COUNTIFS('🧪 Tests'!A:A,I7,'🧪 Tests'!G:G,"❌ FAIL")</f>
        <v>0</v>
      </c>
      <c r="F7" s="15">
        <f>COUNTIFS('🧪 Tests'!A:A,I7,'🧪 Tests'!G:G,"⚠️ PARTIEL")</f>
        <v>0</v>
      </c>
      <c r="G7" s="16">
        <f>COUNTIFS('🧪 Tests'!A:A,I7,'🧪 Tests'!G:G,"☐ À tester")</f>
        <v>13</v>
      </c>
      <c r="H7" s="17" t="str">
        <f t="shared" si="0"/>
        <v>0%</v>
      </c>
      <c r="I7" s="18" t="s">
        <v>18</v>
      </c>
    </row>
    <row r="8" spans="1:9" ht="24" customHeight="1" x14ac:dyDescent="0.3">
      <c r="A8" s="19" t="s">
        <v>19</v>
      </c>
      <c r="B8" s="20" t="s">
        <v>20</v>
      </c>
      <c r="C8" s="21">
        <v>6</v>
      </c>
      <c r="D8" s="22">
        <f>COUNTIFS('🧪 Tests'!A:A,I8,'🧪 Tests'!G:G,"✅ PASS")</f>
        <v>0</v>
      </c>
      <c r="E8" s="23">
        <f>COUNTIFS('🧪 Tests'!A:A,I8,'🧪 Tests'!G:G,"❌ FAIL")</f>
        <v>0</v>
      </c>
      <c r="F8" s="24">
        <f>COUNTIFS('🧪 Tests'!A:A,I8,'🧪 Tests'!G:G,"⚠️ PARTIEL")</f>
        <v>0</v>
      </c>
      <c r="G8" s="25">
        <f>COUNTIFS('🧪 Tests'!A:A,I8,'🧪 Tests'!G:G,"☐ À tester")</f>
        <v>6</v>
      </c>
      <c r="H8" s="26" t="str">
        <f t="shared" si="0"/>
        <v>0%</v>
      </c>
      <c r="I8" s="18" t="s">
        <v>21</v>
      </c>
    </row>
    <row r="9" spans="1:9" ht="24" customHeight="1" x14ac:dyDescent="0.3">
      <c r="A9" s="10" t="s">
        <v>22</v>
      </c>
      <c r="B9" s="11" t="s">
        <v>23</v>
      </c>
      <c r="C9" s="12">
        <v>19</v>
      </c>
      <c r="D9" s="13">
        <f>COUNTIFS('🧪 Tests'!A:A,I9,'🧪 Tests'!G:G,"✅ PASS")</f>
        <v>0</v>
      </c>
      <c r="E9" s="14">
        <f>COUNTIFS('🧪 Tests'!A:A,I9,'🧪 Tests'!G:G,"❌ FAIL")</f>
        <v>0</v>
      </c>
      <c r="F9" s="15">
        <f>COUNTIFS('🧪 Tests'!A:A,I9,'🧪 Tests'!G:G,"⚠️ PARTIEL")</f>
        <v>0</v>
      </c>
      <c r="G9" s="16">
        <f>COUNTIFS('🧪 Tests'!A:A,I9,'🧪 Tests'!G:G,"☐ À tester")</f>
        <v>19</v>
      </c>
      <c r="H9" s="17" t="str">
        <f t="shared" si="0"/>
        <v>0%</v>
      </c>
      <c r="I9" s="18" t="s">
        <v>24</v>
      </c>
    </row>
    <row r="10" spans="1:9" ht="24" customHeight="1" x14ac:dyDescent="0.3">
      <c r="A10" s="19" t="s">
        <v>25</v>
      </c>
      <c r="B10" s="20" t="s">
        <v>26</v>
      </c>
      <c r="C10" s="21">
        <v>12</v>
      </c>
      <c r="D10" s="22">
        <f>COUNTIFS('🧪 Tests'!A:A,I10,'🧪 Tests'!G:G,"✅ PASS")</f>
        <v>0</v>
      </c>
      <c r="E10" s="23">
        <f>COUNTIFS('🧪 Tests'!A:A,I10,'🧪 Tests'!G:G,"❌ FAIL")</f>
        <v>0</v>
      </c>
      <c r="F10" s="24">
        <f>COUNTIFS('🧪 Tests'!A:A,I10,'🧪 Tests'!G:G,"⚠️ PARTIEL")</f>
        <v>0</v>
      </c>
      <c r="G10" s="25">
        <f>COUNTIFS('🧪 Tests'!A:A,I10,'🧪 Tests'!G:G,"☐ À tester")</f>
        <v>12</v>
      </c>
      <c r="H10" s="26" t="str">
        <f t="shared" si="0"/>
        <v>0%</v>
      </c>
      <c r="I10" s="18" t="s">
        <v>27</v>
      </c>
    </row>
    <row r="11" spans="1:9" ht="24" customHeight="1" x14ac:dyDescent="0.3">
      <c r="A11" s="10" t="s">
        <v>28</v>
      </c>
      <c r="B11" s="11" t="s">
        <v>29</v>
      </c>
      <c r="C11" s="12">
        <v>4</v>
      </c>
      <c r="D11" s="13">
        <f>COUNTIFS('🧪 Tests'!A:A,I11,'🧪 Tests'!G:G,"✅ PASS")</f>
        <v>0</v>
      </c>
      <c r="E11" s="14">
        <f>COUNTIFS('🧪 Tests'!A:A,I11,'🧪 Tests'!G:G,"❌ FAIL")</f>
        <v>0</v>
      </c>
      <c r="F11" s="15">
        <f>COUNTIFS('🧪 Tests'!A:A,I11,'🧪 Tests'!G:G,"⚠️ PARTIEL")</f>
        <v>0</v>
      </c>
      <c r="G11" s="16">
        <f>COUNTIFS('🧪 Tests'!A:A,I11,'🧪 Tests'!G:G,"☐ À tester")</f>
        <v>4</v>
      </c>
      <c r="H11" s="17" t="str">
        <f t="shared" si="0"/>
        <v>0%</v>
      </c>
      <c r="I11" s="18" t="s">
        <v>30</v>
      </c>
    </row>
    <row r="12" spans="1:9" ht="24" customHeight="1" x14ac:dyDescent="0.3">
      <c r="A12" s="19" t="s">
        <v>31</v>
      </c>
      <c r="B12" s="20" t="s">
        <v>32</v>
      </c>
      <c r="C12" s="21">
        <v>7</v>
      </c>
      <c r="D12" s="22">
        <f>COUNTIFS('🧪 Tests'!A:A,I12,'🧪 Tests'!G:G,"✅ PASS")</f>
        <v>0</v>
      </c>
      <c r="E12" s="23">
        <f>COUNTIFS('🧪 Tests'!A:A,I12,'🧪 Tests'!G:G,"❌ FAIL")</f>
        <v>0</v>
      </c>
      <c r="F12" s="24">
        <f>COUNTIFS('🧪 Tests'!A:A,I12,'🧪 Tests'!G:G,"⚠️ PARTIEL")</f>
        <v>0</v>
      </c>
      <c r="G12" s="25">
        <f>COUNTIFS('🧪 Tests'!A:A,I12,'🧪 Tests'!G:G,"☐ À tester")</f>
        <v>7</v>
      </c>
      <c r="H12" s="26" t="str">
        <f t="shared" si="0"/>
        <v>0%</v>
      </c>
      <c r="I12" s="18" t="s">
        <v>33</v>
      </c>
    </row>
    <row r="13" spans="1:9" ht="24" customHeight="1" x14ac:dyDescent="0.3">
      <c r="A13" s="10" t="s">
        <v>34</v>
      </c>
      <c r="B13" s="11" t="s">
        <v>35</v>
      </c>
      <c r="C13" s="12">
        <v>4</v>
      </c>
      <c r="D13" s="13">
        <f>COUNTIFS('🧪 Tests'!A:A,I13,'🧪 Tests'!G:G,"✅ PASS")</f>
        <v>0</v>
      </c>
      <c r="E13" s="14">
        <f>COUNTIFS('🧪 Tests'!A:A,I13,'🧪 Tests'!G:G,"❌ FAIL")</f>
        <v>0</v>
      </c>
      <c r="F13" s="15">
        <f>COUNTIFS('🧪 Tests'!A:A,I13,'🧪 Tests'!G:G,"⚠️ PARTIEL")</f>
        <v>0</v>
      </c>
      <c r="G13" s="16">
        <f>COUNTIFS('🧪 Tests'!A:A,I13,'🧪 Tests'!G:G,"☐ À tester")</f>
        <v>4</v>
      </c>
      <c r="H13" s="17" t="str">
        <f t="shared" si="0"/>
        <v>0%</v>
      </c>
      <c r="I13" s="18" t="s">
        <v>36</v>
      </c>
    </row>
    <row r="14" spans="1:9" ht="24" customHeight="1" x14ac:dyDescent="0.3">
      <c r="A14" s="19" t="s">
        <v>37</v>
      </c>
      <c r="B14" s="20" t="s">
        <v>38</v>
      </c>
      <c r="C14" s="21">
        <v>6</v>
      </c>
      <c r="D14" s="22">
        <f>COUNTIFS('🧪 Tests'!A:A,I14,'🧪 Tests'!G:G,"✅ PASS")</f>
        <v>0</v>
      </c>
      <c r="E14" s="23">
        <f>COUNTIFS('🧪 Tests'!A:A,I14,'🧪 Tests'!G:G,"❌ FAIL")</f>
        <v>0</v>
      </c>
      <c r="F14" s="24">
        <f>COUNTIFS('🧪 Tests'!A:A,I14,'🧪 Tests'!G:G,"⚠️ PARTIEL")</f>
        <v>0</v>
      </c>
      <c r="G14" s="25">
        <f>COUNTIFS('🧪 Tests'!A:A,I14,'🧪 Tests'!G:G,"☐ À tester")</f>
        <v>6</v>
      </c>
      <c r="H14" s="26" t="str">
        <f t="shared" si="0"/>
        <v>0%</v>
      </c>
      <c r="I14" s="18" t="s">
        <v>39</v>
      </c>
    </row>
    <row r="15" spans="1:9" ht="24" customHeight="1" x14ac:dyDescent="0.3">
      <c r="A15" s="10" t="s">
        <v>40</v>
      </c>
      <c r="B15" s="11" t="s">
        <v>41</v>
      </c>
      <c r="C15" s="12">
        <v>6</v>
      </c>
      <c r="D15" s="13">
        <f>COUNTIFS('🧪 Tests'!A:A,I15,'🧪 Tests'!G:G,"✅ PASS")</f>
        <v>0</v>
      </c>
      <c r="E15" s="14">
        <f>COUNTIFS('🧪 Tests'!A:A,I15,'🧪 Tests'!G:G,"❌ FAIL")</f>
        <v>0</v>
      </c>
      <c r="F15" s="15">
        <f>COUNTIFS('🧪 Tests'!A:A,I15,'🧪 Tests'!G:G,"⚠️ PARTIEL")</f>
        <v>0</v>
      </c>
      <c r="G15" s="16">
        <f>COUNTIFS('🧪 Tests'!A:A,I15,'🧪 Tests'!G:G,"☐ À tester")</f>
        <v>6</v>
      </c>
      <c r="H15" s="17" t="str">
        <f t="shared" si="0"/>
        <v>0%</v>
      </c>
      <c r="I15" s="18" t="s">
        <v>42</v>
      </c>
    </row>
    <row r="16" spans="1:9" ht="27.75" customHeight="1" x14ac:dyDescent="0.3">
      <c r="A16" s="27" t="s">
        <v>43</v>
      </c>
      <c r="B16" s="28"/>
      <c r="C16" s="28">
        <v>87</v>
      </c>
      <c r="D16" s="28">
        <f>COUNTIF('🧪 Tests'!G:G,"✅ PASS")</f>
        <v>0</v>
      </c>
      <c r="E16" s="28">
        <f>COUNTIF('🧪 Tests'!G:G,"❌ FAIL")</f>
        <v>0</v>
      </c>
      <c r="F16" s="28">
        <f>COUNTIF('🧪 Tests'!G:G,"⚠️ PARTIEL")</f>
        <v>0</v>
      </c>
      <c r="G16" s="28">
        <f>COUNTIF('🧪 Tests'!G:G,"☐ À tester")</f>
        <v>87</v>
      </c>
      <c r="H16" s="28" t="str">
        <f t="shared" si="0"/>
        <v>0%</v>
      </c>
    </row>
    <row r="18" spans="1:8" ht="19.5" customHeight="1" x14ac:dyDescent="0.3">
      <c r="A18" s="6" t="s">
        <v>44</v>
      </c>
      <c r="B18" s="6"/>
      <c r="C18" s="6"/>
      <c r="D18" s="6"/>
      <c r="E18" s="6"/>
      <c r="F18" s="6"/>
      <c r="G18" s="6"/>
      <c r="H18" s="6"/>
    </row>
    <row r="19" spans="1:8" ht="19.5" customHeight="1" x14ac:dyDescent="0.3">
      <c r="A19" s="29" t="s">
        <v>8</v>
      </c>
      <c r="B19" s="5" t="s">
        <v>45</v>
      </c>
      <c r="C19" s="5"/>
      <c r="D19" s="5"/>
      <c r="E19" s="5"/>
      <c r="F19" s="5"/>
      <c r="G19" s="5"/>
      <c r="H19" s="5"/>
    </row>
    <row r="20" spans="1:8" ht="19.5" customHeight="1" x14ac:dyDescent="0.3">
      <c r="A20" s="30" t="s">
        <v>5</v>
      </c>
      <c r="B20" s="5" t="s">
        <v>46</v>
      </c>
      <c r="C20" s="5"/>
      <c r="D20" s="5"/>
      <c r="E20" s="5"/>
      <c r="F20" s="5"/>
      <c r="G20" s="5"/>
      <c r="H20" s="5"/>
    </row>
    <row r="21" spans="1:8" ht="19.5" customHeight="1" x14ac:dyDescent="0.3">
      <c r="A21" s="31" t="s">
        <v>6</v>
      </c>
      <c r="B21" s="5" t="s">
        <v>47</v>
      </c>
      <c r="C21" s="5"/>
      <c r="D21" s="5"/>
      <c r="E21" s="5"/>
      <c r="F21" s="5"/>
      <c r="G21" s="5"/>
      <c r="H21" s="5"/>
    </row>
    <row r="22" spans="1:8" ht="19.5" customHeight="1" x14ac:dyDescent="0.3">
      <c r="A22" s="32" t="s">
        <v>7</v>
      </c>
      <c r="B22" s="5" t="s">
        <v>48</v>
      </c>
      <c r="C22" s="5"/>
      <c r="D22" s="5"/>
      <c r="E22" s="5"/>
      <c r="F22" s="5"/>
      <c r="G22" s="5"/>
      <c r="H22" s="5"/>
    </row>
    <row r="23" spans="1:8" ht="19.5" customHeight="1" x14ac:dyDescent="0.3">
      <c r="A23" s="33" t="s">
        <v>49</v>
      </c>
      <c r="B23" s="5" t="s">
        <v>50</v>
      </c>
      <c r="C23" s="5"/>
      <c r="D23" s="5"/>
      <c r="E23" s="5"/>
      <c r="F23" s="5"/>
      <c r="G23" s="5"/>
      <c r="H23" s="5"/>
    </row>
  </sheetData>
  <mergeCells count="8">
    <mergeCell ref="B21:H21"/>
    <mergeCell ref="B22:H22"/>
    <mergeCell ref="B23:H23"/>
    <mergeCell ref="A1:H1"/>
    <mergeCell ref="A2:H2"/>
    <mergeCell ref="A18:H18"/>
    <mergeCell ref="B19:H19"/>
    <mergeCell ref="B20:H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K90"/>
  <sheetViews>
    <sheetView showGridLines="0" tabSelected="1" zoomScaleNormal="100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K4" sqref="K4"/>
    </sheetView>
  </sheetViews>
  <sheetFormatPr baseColWidth="10" defaultColWidth="8.6640625" defaultRowHeight="14.4" x14ac:dyDescent="0.3"/>
  <cols>
    <col min="1" max="1" width="28.88671875" customWidth="1"/>
    <col min="2" max="2" width="11.77734375" bestFit="1" customWidth="1"/>
    <col min="3" max="3" width="41.21875" customWidth="1"/>
    <col min="4" max="4" width="45" customWidth="1"/>
    <col min="5" max="5" width="40" customWidth="1"/>
    <col min="6" max="6" width="13.21875" bestFit="1" customWidth="1"/>
    <col min="7" max="7" width="11.88671875" bestFit="1" customWidth="1"/>
    <col min="8" max="8" width="14.5546875" bestFit="1" customWidth="1"/>
    <col min="9" max="9" width="25.77734375" bestFit="1" customWidth="1"/>
    <col min="10" max="10" width="26.33203125" bestFit="1" customWidth="1"/>
    <col min="11" max="11" width="14.5546875" bestFit="1" customWidth="1"/>
  </cols>
  <sheetData>
    <row r="1" spans="1:11" ht="21" x14ac:dyDescent="0.3">
      <c r="A1" s="4" t="s">
        <v>51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3">
      <c r="A2" s="3" t="s">
        <v>52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4" customHeight="1" x14ac:dyDescent="0.3">
      <c r="A3" s="34" t="s">
        <v>53</v>
      </c>
      <c r="B3" s="34" t="s">
        <v>54</v>
      </c>
      <c r="C3" s="34" t="s">
        <v>55</v>
      </c>
      <c r="D3" s="34" t="s">
        <v>56</v>
      </c>
      <c r="E3" s="34" t="s">
        <v>57</v>
      </c>
      <c r="F3" s="34" t="s">
        <v>58</v>
      </c>
      <c r="G3" s="34" t="s">
        <v>59</v>
      </c>
      <c r="H3" s="34" t="s">
        <v>60</v>
      </c>
      <c r="I3" s="34" t="s">
        <v>61</v>
      </c>
      <c r="J3" s="34" t="s">
        <v>62</v>
      </c>
      <c r="K3" s="34" t="s">
        <v>63</v>
      </c>
    </row>
    <row r="4" spans="1:11" ht="30.6" customHeight="1" x14ac:dyDescent="0.3">
      <c r="A4" s="55" t="s">
        <v>12</v>
      </c>
      <c r="B4" s="35" t="s">
        <v>64</v>
      </c>
      <c r="C4" s="36" t="s">
        <v>65</v>
      </c>
      <c r="D4" s="36" t="s">
        <v>66</v>
      </c>
      <c r="E4" s="36" t="s">
        <v>67</v>
      </c>
      <c r="F4" s="37" t="s">
        <v>68</v>
      </c>
      <c r="G4" s="38" t="s">
        <v>8</v>
      </c>
      <c r="H4" s="39"/>
      <c r="I4" s="40"/>
      <c r="J4" s="41"/>
      <c r="K4" s="39"/>
    </row>
    <row r="5" spans="1:11" ht="30.6" customHeight="1" x14ac:dyDescent="0.3">
      <c r="A5" s="55" t="s">
        <v>12</v>
      </c>
      <c r="B5" s="35" t="s">
        <v>69</v>
      </c>
      <c r="C5" s="36" t="s">
        <v>70</v>
      </c>
      <c r="D5" s="36" t="s">
        <v>71</v>
      </c>
      <c r="E5" s="36" t="s">
        <v>72</v>
      </c>
      <c r="F5" s="37" t="s">
        <v>68</v>
      </c>
      <c r="G5" s="38" t="s">
        <v>8</v>
      </c>
      <c r="H5" s="39"/>
      <c r="I5" s="40"/>
      <c r="J5" s="41"/>
      <c r="K5" s="39"/>
    </row>
    <row r="6" spans="1:11" ht="30.6" customHeight="1" x14ac:dyDescent="0.3">
      <c r="A6" s="55" t="s">
        <v>12</v>
      </c>
      <c r="B6" s="35" t="s">
        <v>73</v>
      </c>
      <c r="C6" s="36" t="s">
        <v>74</v>
      </c>
      <c r="D6" s="36" t="s">
        <v>75</v>
      </c>
      <c r="E6" s="36" t="s">
        <v>76</v>
      </c>
      <c r="F6" s="42" t="s">
        <v>77</v>
      </c>
      <c r="G6" s="38" t="s">
        <v>8</v>
      </c>
      <c r="H6" s="39"/>
      <c r="I6" s="40"/>
      <c r="J6" s="41"/>
      <c r="K6" s="39"/>
    </row>
    <row r="7" spans="1:11" ht="30.6" customHeight="1" x14ac:dyDescent="0.3">
      <c r="A7" s="55" t="s">
        <v>12</v>
      </c>
      <c r="B7" s="35" t="s">
        <v>78</v>
      </c>
      <c r="C7" s="36" t="s">
        <v>79</v>
      </c>
      <c r="D7" s="36" t="s">
        <v>80</v>
      </c>
      <c r="E7" s="36" t="s">
        <v>81</v>
      </c>
      <c r="F7" s="42" t="s">
        <v>77</v>
      </c>
      <c r="G7" s="38" t="s">
        <v>8</v>
      </c>
      <c r="H7" s="39"/>
      <c r="I7" s="40"/>
      <c r="J7" s="41"/>
      <c r="K7" s="39"/>
    </row>
    <row r="8" spans="1:11" ht="30.6" customHeight="1" x14ac:dyDescent="0.3">
      <c r="A8" s="55" t="s">
        <v>12</v>
      </c>
      <c r="B8" s="35" t="s">
        <v>82</v>
      </c>
      <c r="C8" s="36" t="s">
        <v>83</v>
      </c>
      <c r="D8" s="36" t="s">
        <v>84</v>
      </c>
      <c r="E8" s="36" t="s">
        <v>85</v>
      </c>
      <c r="F8" s="43" t="s">
        <v>86</v>
      </c>
      <c r="G8" s="38" t="s">
        <v>8</v>
      </c>
      <c r="H8" s="39"/>
      <c r="I8" s="40"/>
      <c r="J8" s="41"/>
      <c r="K8" s="39"/>
    </row>
    <row r="9" spans="1:11" ht="30.6" customHeight="1" x14ac:dyDescent="0.3">
      <c r="A9" s="55" t="s">
        <v>12</v>
      </c>
      <c r="B9" s="35" t="s">
        <v>87</v>
      </c>
      <c r="C9" s="36" t="s">
        <v>88</v>
      </c>
      <c r="D9" s="36" t="s">
        <v>89</v>
      </c>
      <c r="E9" s="36" t="s">
        <v>90</v>
      </c>
      <c r="F9" s="42" t="s">
        <v>77</v>
      </c>
      <c r="G9" s="38" t="s">
        <v>8</v>
      </c>
      <c r="H9" s="39"/>
      <c r="I9" s="40"/>
      <c r="J9" s="41"/>
      <c r="K9" s="39"/>
    </row>
    <row r="10" spans="1:11" ht="30.6" customHeight="1" x14ac:dyDescent="0.3">
      <c r="A10" s="56" t="s">
        <v>15</v>
      </c>
      <c r="B10" s="44" t="s">
        <v>91</v>
      </c>
      <c r="C10" s="45" t="s">
        <v>92</v>
      </c>
      <c r="D10" s="45" t="s">
        <v>93</v>
      </c>
      <c r="E10" s="45" t="s">
        <v>94</v>
      </c>
      <c r="F10" s="42" t="s">
        <v>77</v>
      </c>
      <c r="G10" s="38" t="s">
        <v>8</v>
      </c>
      <c r="H10" s="46"/>
      <c r="I10" s="40"/>
      <c r="J10" s="41"/>
      <c r="K10" s="46"/>
    </row>
    <row r="11" spans="1:11" ht="30.6" customHeight="1" x14ac:dyDescent="0.3">
      <c r="A11" s="56" t="s">
        <v>15</v>
      </c>
      <c r="B11" s="44" t="s">
        <v>95</v>
      </c>
      <c r="C11" s="45" t="s">
        <v>96</v>
      </c>
      <c r="D11" s="45" t="s">
        <v>97</v>
      </c>
      <c r="E11" s="45" t="s">
        <v>98</v>
      </c>
      <c r="F11" s="42" t="s">
        <v>77</v>
      </c>
      <c r="G11" s="38" t="s">
        <v>8</v>
      </c>
      <c r="H11" s="46"/>
      <c r="I11" s="40"/>
      <c r="J11" s="41"/>
      <c r="K11" s="46"/>
    </row>
    <row r="12" spans="1:11" ht="30.6" customHeight="1" x14ac:dyDescent="0.3">
      <c r="A12" s="56" t="s">
        <v>15</v>
      </c>
      <c r="B12" s="44" t="s">
        <v>99</v>
      </c>
      <c r="C12" s="45" t="s">
        <v>100</v>
      </c>
      <c r="D12" s="45" t="s">
        <v>101</v>
      </c>
      <c r="E12" s="45" t="s">
        <v>102</v>
      </c>
      <c r="F12" s="43" t="s">
        <v>86</v>
      </c>
      <c r="G12" s="38" t="s">
        <v>8</v>
      </c>
      <c r="H12" s="46"/>
      <c r="I12" s="40"/>
      <c r="J12" s="41"/>
      <c r="K12" s="46"/>
    </row>
    <row r="13" spans="1:11" ht="30.6" customHeight="1" x14ac:dyDescent="0.3">
      <c r="A13" s="56" t="s">
        <v>15</v>
      </c>
      <c r="B13" s="44" t="s">
        <v>103</v>
      </c>
      <c r="C13" s="45" t="s">
        <v>104</v>
      </c>
      <c r="D13" s="45" t="s">
        <v>105</v>
      </c>
      <c r="E13" s="45" t="s">
        <v>106</v>
      </c>
      <c r="F13" s="43" t="s">
        <v>86</v>
      </c>
      <c r="G13" s="38" t="s">
        <v>8</v>
      </c>
      <c r="H13" s="46"/>
      <c r="I13" s="40"/>
      <c r="J13" s="41"/>
      <c r="K13" s="46"/>
    </row>
    <row r="14" spans="1:11" ht="30.6" customHeight="1" x14ac:dyDescent="0.3">
      <c r="A14" s="55" t="s">
        <v>18</v>
      </c>
      <c r="B14" s="35" t="s">
        <v>107</v>
      </c>
      <c r="C14" s="36" t="s">
        <v>108</v>
      </c>
      <c r="D14" s="36" t="s">
        <v>109</v>
      </c>
      <c r="E14" s="36" t="s">
        <v>110</v>
      </c>
      <c r="F14" s="37" t="s">
        <v>68</v>
      </c>
      <c r="G14" s="38" t="s">
        <v>8</v>
      </c>
      <c r="H14" s="39"/>
      <c r="I14" s="40"/>
      <c r="J14" s="41"/>
      <c r="K14" s="39"/>
    </row>
    <row r="15" spans="1:11" ht="30.6" customHeight="1" x14ac:dyDescent="0.3">
      <c r="A15" s="55" t="s">
        <v>18</v>
      </c>
      <c r="B15" s="35" t="s">
        <v>111</v>
      </c>
      <c r="C15" s="36" t="s">
        <v>112</v>
      </c>
      <c r="D15" s="36" t="s">
        <v>113</v>
      </c>
      <c r="E15" s="36" t="s">
        <v>114</v>
      </c>
      <c r="F15" s="37" t="s">
        <v>68</v>
      </c>
      <c r="G15" s="38" t="s">
        <v>8</v>
      </c>
      <c r="H15" s="39"/>
      <c r="I15" s="40"/>
      <c r="J15" s="41"/>
      <c r="K15" s="39"/>
    </row>
    <row r="16" spans="1:11" ht="30.6" customHeight="1" x14ac:dyDescent="0.3">
      <c r="A16" s="55" t="s">
        <v>18</v>
      </c>
      <c r="B16" s="35" t="s">
        <v>115</v>
      </c>
      <c r="C16" s="36" t="s">
        <v>116</v>
      </c>
      <c r="D16" s="36" t="s">
        <v>117</v>
      </c>
      <c r="E16" s="36" t="s">
        <v>118</v>
      </c>
      <c r="F16" s="42" t="s">
        <v>77</v>
      </c>
      <c r="G16" s="38" t="s">
        <v>8</v>
      </c>
      <c r="H16" s="39"/>
      <c r="I16" s="40"/>
      <c r="J16" s="41"/>
      <c r="K16" s="39"/>
    </row>
    <row r="17" spans="1:11" ht="30.6" customHeight="1" x14ac:dyDescent="0.3">
      <c r="A17" s="55" t="s">
        <v>18</v>
      </c>
      <c r="B17" s="35" t="s">
        <v>119</v>
      </c>
      <c r="C17" s="36" t="s">
        <v>120</v>
      </c>
      <c r="D17" s="36" t="s">
        <v>121</v>
      </c>
      <c r="E17" s="36" t="s">
        <v>122</v>
      </c>
      <c r="F17" s="42" t="s">
        <v>77</v>
      </c>
      <c r="G17" s="38" t="s">
        <v>8</v>
      </c>
      <c r="H17" s="39"/>
      <c r="I17" s="40"/>
      <c r="J17" s="41"/>
      <c r="K17" s="39"/>
    </row>
    <row r="18" spans="1:11" ht="30.6" customHeight="1" x14ac:dyDescent="0.3">
      <c r="A18" s="55" t="s">
        <v>18</v>
      </c>
      <c r="B18" s="35" t="s">
        <v>123</v>
      </c>
      <c r="C18" s="36" t="s">
        <v>124</v>
      </c>
      <c r="D18" s="36" t="s">
        <v>125</v>
      </c>
      <c r="E18" s="36" t="s">
        <v>126</v>
      </c>
      <c r="F18" s="42" t="s">
        <v>77</v>
      </c>
      <c r="G18" s="38" t="s">
        <v>8</v>
      </c>
      <c r="H18" s="39"/>
      <c r="I18" s="40"/>
      <c r="J18" s="41"/>
      <c r="K18" s="39"/>
    </row>
    <row r="19" spans="1:11" ht="30.6" customHeight="1" x14ac:dyDescent="0.3">
      <c r="A19" s="55" t="s">
        <v>18</v>
      </c>
      <c r="B19" s="35" t="s">
        <v>127</v>
      </c>
      <c r="C19" s="36" t="s">
        <v>128</v>
      </c>
      <c r="D19" s="36" t="s">
        <v>129</v>
      </c>
      <c r="E19" s="36" t="s">
        <v>130</v>
      </c>
      <c r="F19" s="42" t="s">
        <v>77</v>
      </c>
      <c r="G19" s="38" t="s">
        <v>8</v>
      </c>
      <c r="H19" s="39"/>
      <c r="I19" s="40"/>
      <c r="J19" s="41"/>
      <c r="K19" s="39"/>
    </row>
    <row r="20" spans="1:11" ht="30.6" customHeight="1" x14ac:dyDescent="0.3">
      <c r="A20" s="55" t="s">
        <v>18</v>
      </c>
      <c r="B20" s="35" t="s">
        <v>131</v>
      </c>
      <c r="C20" s="36" t="s">
        <v>132</v>
      </c>
      <c r="D20" s="36" t="s">
        <v>133</v>
      </c>
      <c r="E20" s="36" t="s">
        <v>134</v>
      </c>
      <c r="F20" s="43" t="s">
        <v>86</v>
      </c>
      <c r="G20" s="38" t="s">
        <v>8</v>
      </c>
      <c r="H20" s="39"/>
      <c r="I20" s="40"/>
      <c r="J20" s="41"/>
      <c r="K20" s="39"/>
    </row>
    <row r="21" spans="1:11" ht="30.6" customHeight="1" x14ac:dyDescent="0.3">
      <c r="A21" s="55" t="s">
        <v>18</v>
      </c>
      <c r="B21" s="35" t="s">
        <v>135</v>
      </c>
      <c r="C21" s="36" t="s">
        <v>136</v>
      </c>
      <c r="D21" s="36" t="s">
        <v>137</v>
      </c>
      <c r="E21" s="36" t="s">
        <v>138</v>
      </c>
      <c r="F21" s="43" t="s">
        <v>86</v>
      </c>
      <c r="G21" s="38" t="s">
        <v>8</v>
      </c>
      <c r="H21" s="39"/>
      <c r="I21" s="40"/>
      <c r="J21" s="41"/>
      <c r="K21" s="39"/>
    </row>
    <row r="22" spans="1:11" ht="30.6" customHeight="1" x14ac:dyDescent="0.3">
      <c r="A22" s="55" t="s">
        <v>18</v>
      </c>
      <c r="B22" s="35" t="s">
        <v>139</v>
      </c>
      <c r="C22" s="36" t="s">
        <v>140</v>
      </c>
      <c r="D22" s="36" t="s">
        <v>141</v>
      </c>
      <c r="E22" s="36" t="s">
        <v>142</v>
      </c>
      <c r="F22" s="43" t="s">
        <v>86</v>
      </c>
      <c r="G22" s="38" t="s">
        <v>8</v>
      </c>
      <c r="H22" s="39"/>
      <c r="I22" s="40"/>
      <c r="J22" s="41"/>
      <c r="K22" s="39"/>
    </row>
    <row r="23" spans="1:11" ht="30.6" customHeight="1" x14ac:dyDescent="0.3">
      <c r="A23" s="55" t="s">
        <v>18</v>
      </c>
      <c r="B23" s="35" t="s">
        <v>143</v>
      </c>
      <c r="C23" s="36" t="s">
        <v>144</v>
      </c>
      <c r="D23" s="36" t="s">
        <v>145</v>
      </c>
      <c r="E23" s="36" t="s">
        <v>146</v>
      </c>
      <c r="F23" s="43" t="s">
        <v>86</v>
      </c>
      <c r="G23" s="38" t="s">
        <v>8</v>
      </c>
      <c r="H23" s="39"/>
      <c r="I23" s="40"/>
      <c r="J23" s="41"/>
      <c r="K23" s="39"/>
    </row>
    <row r="24" spans="1:11" ht="30.6" customHeight="1" x14ac:dyDescent="0.3">
      <c r="A24" s="55" t="s">
        <v>18</v>
      </c>
      <c r="B24" s="35" t="s">
        <v>147</v>
      </c>
      <c r="C24" s="36" t="s">
        <v>148</v>
      </c>
      <c r="D24" s="36" t="s">
        <v>149</v>
      </c>
      <c r="E24" s="36" t="s">
        <v>150</v>
      </c>
      <c r="F24" s="43" t="s">
        <v>86</v>
      </c>
      <c r="G24" s="38" t="s">
        <v>8</v>
      </c>
      <c r="H24" s="39"/>
      <c r="I24" s="40"/>
      <c r="J24" s="41"/>
      <c r="K24" s="39"/>
    </row>
    <row r="25" spans="1:11" ht="30.6" customHeight="1" x14ac:dyDescent="0.3">
      <c r="A25" s="55" t="s">
        <v>18</v>
      </c>
      <c r="B25" s="35" t="s">
        <v>151</v>
      </c>
      <c r="C25" s="36" t="s">
        <v>152</v>
      </c>
      <c r="D25" s="36" t="s">
        <v>153</v>
      </c>
      <c r="E25" s="36" t="s">
        <v>154</v>
      </c>
      <c r="F25" s="42" t="s">
        <v>77</v>
      </c>
      <c r="G25" s="38" t="s">
        <v>8</v>
      </c>
      <c r="H25" s="39"/>
      <c r="I25" s="40"/>
      <c r="J25" s="41"/>
      <c r="K25" s="39"/>
    </row>
    <row r="26" spans="1:11" ht="30.6" customHeight="1" x14ac:dyDescent="0.3">
      <c r="A26" s="55" t="s">
        <v>18</v>
      </c>
      <c r="B26" s="35" t="s">
        <v>155</v>
      </c>
      <c r="C26" s="36" t="s">
        <v>156</v>
      </c>
      <c r="D26" s="36" t="s">
        <v>157</v>
      </c>
      <c r="E26" s="36" t="s">
        <v>158</v>
      </c>
      <c r="F26" s="37" t="s">
        <v>68</v>
      </c>
      <c r="G26" s="38" t="s">
        <v>8</v>
      </c>
      <c r="H26" s="39"/>
      <c r="I26" s="40"/>
      <c r="J26" s="41"/>
      <c r="K26" s="39"/>
    </row>
    <row r="27" spans="1:11" ht="30.6" customHeight="1" x14ac:dyDescent="0.3">
      <c r="A27" s="56" t="s">
        <v>21</v>
      </c>
      <c r="B27" s="44" t="s">
        <v>159</v>
      </c>
      <c r="C27" s="45" t="s">
        <v>160</v>
      </c>
      <c r="D27" s="45" t="s">
        <v>161</v>
      </c>
      <c r="E27" s="45" t="s">
        <v>162</v>
      </c>
      <c r="F27" s="37" t="s">
        <v>68</v>
      </c>
      <c r="G27" s="38" t="s">
        <v>8</v>
      </c>
      <c r="H27" s="46"/>
      <c r="I27" s="40"/>
      <c r="J27" s="41"/>
      <c r="K27" s="46"/>
    </row>
    <row r="28" spans="1:11" ht="30.6" customHeight="1" x14ac:dyDescent="0.3">
      <c r="A28" s="56" t="s">
        <v>21</v>
      </c>
      <c r="B28" s="44" t="s">
        <v>163</v>
      </c>
      <c r="C28" s="45" t="s">
        <v>164</v>
      </c>
      <c r="D28" s="45" t="s">
        <v>165</v>
      </c>
      <c r="E28" s="45" t="s">
        <v>166</v>
      </c>
      <c r="F28" s="42" t="s">
        <v>77</v>
      </c>
      <c r="G28" s="38" t="s">
        <v>8</v>
      </c>
      <c r="H28" s="46"/>
      <c r="I28" s="40"/>
      <c r="J28" s="41"/>
      <c r="K28" s="46"/>
    </row>
    <row r="29" spans="1:11" ht="30.6" customHeight="1" x14ac:dyDescent="0.3">
      <c r="A29" s="56" t="s">
        <v>21</v>
      </c>
      <c r="B29" s="44" t="s">
        <v>167</v>
      </c>
      <c r="C29" s="45" t="s">
        <v>168</v>
      </c>
      <c r="D29" s="45" t="s">
        <v>169</v>
      </c>
      <c r="E29" s="45" t="s">
        <v>170</v>
      </c>
      <c r="F29" s="42" t="s">
        <v>77</v>
      </c>
      <c r="G29" s="38" t="s">
        <v>8</v>
      </c>
      <c r="H29" s="46"/>
      <c r="I29" s="40"/>
      <c r="J29" s="41"/>
      <c r="K29" s="46"/>
    </row>
    <row r="30" spans="1:11" ht="30.6" customHeight="1" x14ac:dyDescent="0.3">
      <c r="A30" s="56" t="s">
        <v>21</v>
      </c>
      <c r="B30" s="44" t="s">
        <v>171</v>
      </c>
      <c r="C30" s="45" t="s">
        <v>172</v>
      </c>
      <c r="D30" s="45" t="s">
        <v>173</v>
      </c>
      <c r="E30" s="45" t="s">
        <v>174</v>
      </c>
      <c r="F30" s="42" t="s">
        <v>77</v>
      </c>
      <c r="G30" s="38" t="s">
        <v>8</v>
      </c>
      <c r="H30" s="46"/>
      <c r="I30" s="40"/>
      <c r="J30" s="41"/>
      <c r="K30" s="46"/>
    </row>
    <row r="31" spans="1:11" ht="30.6" customHeight="1" x14ac:dyDescent="0.3">
      <c r="A31" s="56" t="s">
        <v>21</v>
      </c>
      <c r="B31" s="44" t="s">
        <v>175</v>
      </c>
      <c r="C31" s="45" t="s">
        <v>176</v>
      </c>
      <c r="D31" s="45" t="s">
        <v>177</v>
      </c>
      <c r="E31" s="45" t="s">
        <v>178</v>
      </c>
      <c r="F31" s="43" t="s">
        <v>86</v>
      </c>
      <c r="G31" s="38" t="s">
        <v>8</v>
      </c>
      <c r="H31" s="46"/>
      <c r="I31" s="40"/>
      <c r="J31" s="41"/>
      <c r="K31" s="46"/>
    </row>
    <row r="32" spans="1:11" ht="30.6" customHeight="1" x14ac:dyDescent="0.3">
      <c r="A32" s="56" t="s">
        <v>21</v>
      </c>
      <c r="B32" s="44" t="s">
        <v>179</v>
      </c>
      <c r="C32" s="45" t="s">
        <v>180</v>
      </c>
      <c r="D32" s="45" t="s">
        <v>181</v>
      </c>
      <c r="E32" s="45" t="s">
        <v>182</v>
      </c>
      <c r="F32" s="42" t="s">
        <v>77</v>
      </c>
      <c r="G32" s="38" t="s">
        <v>8</v>
      </c>
      <c r="H32" s="46"/>
      <c r="I32" s="40"/>
      <c r="J32" s="41"/>
      <c r="K32" s="46"/>
    </row>
    <row r="33" spans="1:11" ht="30.6" customHeight="1" x14ac:dyDescent="0.3">
      <c r="A33" s="55" t="s">
        <v>24</v>
      </c>
      <c r="B33" s="35" t="s">
        <v>183</v>
      </c>
      <c r="C33" s="36" t="s">
        <v>184</v>
      </c>
      <c r="D33" s="36" t="s">
        <v>185</v>
      </c>
      <c r="E33" s="36" t="s">
        <v>186</v>
      </c>
      <c r="F33" s="37" t="s">
        <v>68</v>
      </c>
      <c r="G33" s="38" t="s">
        <v>8</v>
      </c>
      <c r="H33" s="39"/>
      <c r="I33" s="40"/>
      <c r="J33" s="41"/>
      <c r="K33" s="39"/>
    </row>
    <row r="34" spans="1:11" ht="30.6" customHeight="1" x14ac:dyDescent="0.3">
      <c r="A34" s="55" t="s">
        <v>24</v>
      </c>
      <c r="B34" s="35" t="s">
        <v>187</v>
      </c>
      <c r="C34" s="36" t="s">
        <v>188</v>
      </c>
      <c r="D34" s="36" t="s">
        <v>189</v>
      </c>
      <c r="E34" s="36" t="s">
        <v>190</v>
      </c>
      <c r="F34" s="37" t="s">
        <v>68</v>
      </c>
      <c r="G34" s="38" t="s">
        <v>8</v>
      </c>
      <c r="H34" s="39"/>
      <c r="I34" s="40"/>
      <c r="J34" s="41"/>
      <c r="K34" s="39"/>
    </row>
    <row r="35" spans="1:11" ht="30.6" customHeight="1" x14ac:dyDescent="0.3">
      <c r="A35" s="55" t="s">
        <v>24</v>
      </c>
      <c r="B35" s="35" t="s">
        <v>191</v>
      </c>
      <c r="C35" s="36" t="s">
        <v>192</v>
      </c>
      <c r="D35" s="36" t="s">
        <v>193</v>
      </c>
      <c r="E35" s="36" t="s">
        <v>194</v>
      </c>
      <c r="F35" s="37" t="s">
        <v>68</v>
      </c>
      <c r="G35" s="38" t="s">
        <v>8</v>
      </c>
      <c r="H35" s="39"/>
      <c r="I35" s="40"/>
      <c r="J35" s="41"/>
      <c r="K35" s="39"/>
    </row>
    <row r="36" spans="1:11" ht="30.6" customHeight="1" x14ac:dyDescent="0.3">
      <c r="A36" s="55" t="s">
        <v>24</v>
      </c>
      <c r="B36" s="35" t="s">
        <v>195</v>
      </c>
      <c r="C36" s="36" t="s">
        <v>196</v>
      </c>
      <c r="D36" s="36" t="s">
        <v>197</v>
      </c>
      <c r="E36" s="36" t="s">
        <v>198</v>
      </c>
      <c r="F36" s="37" t="s">
        <v>68</v>
      </c>
      <c r="G36" s="38" t="s">
        <v>8</v>
      </c>
      <c r="H36" s="39"/>
      <c r="I36" s="40"/>
      <c r="J36" s="41"/>
      <c r="K36" s="39"/>
    </row>
    <row r="37" spans="1:11" ht="30.6" customHeight="1" x14ac:dyDescent="0.3">
      <c r="A37" s="55" t="s">
        <v>24</v>
      </c>
      <c r="B37" s="35" t="s">
        <v>199</v>
      </c>
      <c r="C37" s="36" t="s">
        <v>200</v>
      </c>
      <c r="D37" s="36" t="s">
        <v>201</v>
      </c>
      <c r="E37" s="36" t="s">
        <v>202</v>
      </c>
      <c r="F37" s="42" t="s">
        <v>77</v>
      </c>
      <c r="G37" s="38" t="s">
        <v>8</v>
      </c>
      <c r="H37" s="39"/>
      <c r="I37" s="40"/>
      <c r="J37" s="41"/>
      <c r="K37" s="39"/>
    </row>
    <row r="38" spans="1:11" ht="30.6" customHeight="1" x14ac:dyDescent="0.3">
      <c r="A38" s="55" t="s">
        <v>24</v>
      </c>
      <c r="B38" s="35" t="s">
        <v>203</v>
      </c>
      <c r="C38" s="36" t="s">
        <v>204</v>
      </c>
      <c r="D38" s="36" t="s">
        <v>205</v>
      </c>
      <c r="E38" s="36" t="s">
        <v>206</v>
      </c>
      <c r="F38" s="42" t="s">
        <v>77</v>
      </c>
      <c r="G38" s="38" t="s">
        <v>8</v>
      </c>
      <c r="H38" s="39"/>
      <c r="I38" s="40"/>
      <c r="J38" s="41"/>
      <c r="K38" s="39"/>
    </row>
    <row r="39" spans="1:11" ht="30.6" customHeight="1" x14ac:dyDescent="0.3">
      <c r="A39" s="55" t="s">
        <v>24</v>
      </c>
      <c r="B39" s="35" t="s">
        <v>207</v>
      </c>
      <c r="C39" s="36" t="s">
        <v>208</v>
      </c>
      <c r="D39" s="36" t="s">
        <v>209</v>
      </c>
      <c r="E39" s="36" t="s">
        <v>210</v>
      </c>
      <c r="F39" s="43" t="s">
        <v>86</v>
      </c>
      <c r="G39" s="38" t="s">
        <v>8</v>
      </c>
      <c r="H39" s="39"/>
      <c r="I39" s="40"/>
      <c r="J39" s="41"/>
      <c r="K39" s="39"/>
    </row>
    <row r="40" spans="1:11" ht="30.6" customHeight="1" x14ac:dyDescent="0.3">
      <c r="A40" s="55" t="s">
        <v>24</v>
      </c>
      <c r="B40" s="35" t="s">
        <v>211</v>
      </c>
      <c r="C40" s="36" t="s">
        <v>212</v>
      </c>
      <c r="D40" s="36" t="s">
        <v>213</v>
      </c>
      <c r="E40" s="36" t="s">
        <v>214</v>
      </c>
      <c r="F40" s="43" t="s">
        <v>86</v>
      </c>
      <c r="G40" s="38" t="s">
        <v>8</v>
      </c>
      <c r="H40" s="39"/>
      <c r="I40" s="40"/>
      <c r="J40" s="41"/>
      <c r="K40" s="39"/>
    </row>
    <row r="41" spans="1:11" ht="30.6" customHeight="1" x14ac:dyDescent="0.3">
      <c r="A41" s="55" t="s">
        <v>24</v>
      </c>
      <c r="B41" s="35" t="s">
        <v>215</v>
      </c>
      <c r="C41" s="36" t="s">
        <v>216</v>
      </c>
      <c r="D41" s="36" t="s">
        <v>217</v>
      </c>
      <c r="E41" s="36" t="s">
        <v>218</v>
      </c>
      <c r="F41" s="43" t="s">
        <v>86</v>
      </c>
      <c r="G41" s="38" t="s">
        <v>8</v>
      </c>
      <c r="H41" s="39"/>
      <c r="I41" s="40"/>
      <c r="J41" s="41"/>
      <c r="K41" s="39"/>
    </row>
    <row r="42" spans="1:11" ht="30.6" customHeight="1" x14ac:dyDescent="0.3">
      <c r="A42" s="55" t="s">
        <v>24</v>
      </c>
      <c r="B42" s="35" t="s">
        <v>219</v>
      </c>
      <c r="C42" s="36" t="s">
        <v>220</v>
      </c>
      <c r="D42" s="36" t="s">
        <v>221</v>
      </c>
      <c r="E42" s="36" t="s">
        <v>222</v>
      </c>
      <c r="F42" s="43" t="s">
        <v>86</v>
      </c>
      <c r="G42" s="38" t="s">
        <v>8</v>
      </c>
      <c r="H42" s="39"/>
      <c r="I42" s="40"/>
      <c r="J42" s="41"/>
      <c r="K42" s="39"/>
    </row>
    <row r="43" spans="1:11" ht="30.6" customHeight="1" x14ac:dyDescent="0.3">
      <c r="A43" s="55" t="s">
        <v>24</v>
      </c>
      <c r="B43" s="35" t="s">
        <v>223</v>
      </c>
      <c r="C43" s="36" t="s">
        <v>224</v>
      </c>
      <c r="D43" s="36" t="s">
        <v>225</v>
      </c>
      <c r="E43" s="36" t="s">
        <v>226</v>
      </c>
      <c r="F43" s="43" t="s">
        <v>86</v>
      </c>
      <c r="G43" s="38" t="s">
        <v>8</v>
      </c>
      <c r="H43" s="39"/>
      <c r="I43" s="40"/>
      <c r="J43" s="41"/>
      <c r="K43" s="39"/>
    </row>
    <row r="44" spans="1:11" ht="30.6" customHeight="1" x14ac:dyDescent="0.3">
      <c r="A44" s="55" t="s">
        <v>24</v>
      </c>
      <c r="B44" s="35" t="s">
        <v>227</v>
      </c>
      <c r="C44" s="36" t="s">
        <v>228</v>
      </c>
      <c r="D44" s="36" t="s">
        <v>229</v>
      </c>
      <c r="E44" s="36" t="s">
        <v>230</v>
      </c>
      <c r="F44" s="43" t="s">
        <v>86</v>
      </c>
      <c r="G44" s="38" t="s">
        <v>8</v>
      </c>
      <c r="H44" s="39"/>
      <c r="I44" s="40"/>
      <c r="J44" s="41"/>
      <c r="K44" s="39"/>
    </row>
    <row r="45" spans="1:11" ht="30.6" customHeight="1" x14ac:dyDescent="0.3">
      <c r="A45" s="55" t="s">
        <v>24</v>
      </c>
      <c r="B45" s="35" t="s">
        <v>231</v>
      </c>
      <c r="C45" s="36" t="s">
        <v>232</v>
      </c>
      <c r="D45" s="36" t="s">
        <v>233</v>
      </c>
      <c r="E45" s="36" t="s">
        <v>234</v>
      </c>
      <c r="F45" s="43" t="s">
        <v>86</v>
      </c>
      <c r="G45" s="38" t="s">
        <v>8</v>
      </c>
      <c r="H45" s="39"/>
      <c r="I45" s="40"/>
      <c r="J45" s="41"/>
      <c r="K45" s="39"/>
    </row>
    <row r="46" spans="1:11" ht="30.6" customHeight="1" x14ac:dyDescent="0.3">
      <c r="A46" s="55" t="s">
        <v>24</v>
      </c>
      <c r="B46" s="35" t="s">
        <v>235</v>
      </c>
      <c r="C46" s="36" t="s">
        <v>236</v>
      </c>
      <c r="D46" s="36" t="s">
        <v>237</v>
      </c>
      <c r="E46" s="36" t="s">
        <v>238</v>
      </c>
      <c r="F46" s="43" t="s">
        <v>86</v>
      </c>
      <c r="G46" s="38" t="s">
        <v>8</v>
      </c>
      <c r="H46" s="39"/>
      <c r="I46" s="40"/>
      <c r="J46" s="41"/>
      <c r="K46" s="39"/>
    </row>
    <row r="47" spans="1:11" ht="30.6" customHeight="1" x14ac:dyDescent="0.3">
      <c r="A47" s="55" t="s">
        <v>24</v>
      </c>
      <c r="B47" s="35" t="s">
        <v>239</v>
      </c>
      <c r="C47" s="36" t="s">
        <v>240</v>
      </c>
      <c r="D47" s="36" t="s">
        <v>241</v>
      </c>
      <c r="E47" s="36" t="s">
        <v>242</v>
      </c>
      <c r="F47" s="42" t="s">
        <v>77</v>
      </c>
      <c r="G47" s="38" t="s">
        <v>8</v>
      </c>
      <c r="H47" s="39"/>
      <c r="I47" s="40"/>
      <c r="J47" s="41"/>
      <c r="K47" s="39"/>
    </row>
    <row r="48" spans="1:11" ht="30.6" customHeight="1" x14ac:dyDescent="0.3">
      <c r="A48" s="55" t="s">
        <v>24</v>
      </c>
      <c r="B48" s="35" t="s">
        <v>243</v>
      </c>
      <c r="C48" s="36" t="s">
        <v>244</v>
      </c>
      <c r="D48" s="36" t="s">
        <v>245</v>
      </c>
      <c r="E48" s="36" t="s">
        <v>246</v>
      </c>
      <c r="F48" s="43" t="s">
        <v>86</v>
      </c>
      <c r="G48" s="38" t="s">
        <v>8</v>
      </c>
      <c r="H48" s="39"/>
      <c r="I48" s="40"/>
      <c r="J48" s="41"/>
      <c r="K48" s="39"/>
    </row>
    <row r="49" spans="1:11" ht="30.6" customHeight="1" x14ac:dyDescent="0.3">
      <c r="A49" s="55" t="s">
        <v>24</v>
      </c>
      <c r="B49" s="35" t="s">
        <v>247</v>
      </c>
      <c r="C49" s="36" t="s">
        <v>248</v>
      </c>
      <c r="D49" s="36" t="s">
        <v>249</v>
      </c>
      <c r="E49" s="36" t="s">
        <v>250</v>
      </c>
      <c r="F49" s="42" t="s">
        <v>77</v>
      </c>
      <c r="G49" s="38" t="s">
        <v>8</v>
      </c>
      <c r="H49" s="39"/>
      <c r="I49" s="40"/>
      <c r="J49" s="41"/>
      <c r="K49" s="39"/>
    </row>
    <row r="50" spans="1:11" ht="30.6" customHeight="1" x14ac:dyDescent="0.3">
      <c r="A50" s="55" t="s">
        <v>24</v>
      </c>
      <c r="B50" s="35" t="s">
        <v>251</v>
      </c>
      <c r="C50" s="36" t="s">
        <v>252</v>
      </c>
      <c r="D50" s="36" t="s">
        <v>253</v>
      </c>
      <c r="E50" s="36" t="s">
        <v>254</v>
      </c>
      <c r="F50" s="42" t="s">
        <v>77</v>
      </c>
      <c r="G50" s="38" t="s">
        <v>8</v>
      </c>
      <c r="H50" s="39"/>
      <c r="I50" s="40"/>
      <c r="J50" s="41"/>
      <c r="K50" s="39"/>
    </row>
    <row r="51" spans="1:11" ht="30.6" customHeight="1" x14ac:dyDescent="0.3">
      <c r="A51" s="55" t="s">
        <v>24</v>
      </c>
      <c r="B51" s="35" t="s">
        <v>255</v>
      </c>
      <c r="C51" s="36" t="s">
        <v>256</v>
      </c>
      <c r="D51" s="36" t="s">
        <v>257</v>
      </c>
      <c r="E51" s="36" t="s">
        <v>258</v>
      </c>
      <c r="F51" s="43" t="s">
        <v>86</v>
      </c>
      <c r="G51" s="38" t="s">
        <v>8</v>
      </c>
      <c r="H51" s="39"/>
      <c r="I51" s="40"/>
      <c r="J51" s="41"/>
      <c r="K51" s="39"/>
    </row>
    <row r="52" spans="1:11" ht="30.6" customHeight="1" x14ac:dyDescent="0.3">
      <c r="A52" s="56" t="s">
        <v>27</v>
      </c>
      <c r="B52" s="44" t="s">
        <v>259</v>
      </c>
      <c r="C52" s="45" t="s">
        <v>260</v>
      </c>
      <c r="D52" s="45" t="s">
        <v>261</v>
      </c>
      <c r="E52" s="45" t="s">
        <v>262</v>
      </c>
      <c r="F52" s="37" t="s">
        <v>68</v>
      </c>
      <c r="G52" s="38" t="s">
        <v>8</v>
      </c>
      <c r="H52" s="46"/>
      <c r="I52" s="40"/>
      <c r="J52" s="41"/>
      <c r="K52" s="46"/>
    </row>
    <row r="53" spans="1:11" ht="30.6" customHeight="1" x14ac:dyDescent="0.3">
      <c r="A53" s="56" t="s">
        <v>27</v>
      </c>
      <c r="B53" s="44" t="s">
        <v>263</v>
      </c>
      <c r="C53" s="45" t="s">
        <v>264</v>
      </c>
      <c r="D53" s="45" t="s">
        <v>265</v>
      </c>
      <c r="E53" s="45" t="s">
        <v>266</v>
      </c>
      <c r="F53" s="37" t="s">
        <v>68</v>
      </c>
      <c r="G53" s="38" t="s">
        <v>8</v>
      </c>
      <c r="H53" s="46"/>
      <c r="I53" s="40"/>
      <c r="J53" s="41"/>
      <c r="K53" s="46"/>
    </row>
    <row r="54" spans="1:11" ht="30.6" customHeight="1" x14ac:dyDescent="0.3">
      <c r="A54" s="56" t="s">
        <v>27</v>
      </c>
      <c r="B54" s="44" t="s">
        <v>267</v>
      </c>
      <c r="C54" s="45" t="s">
        <v>268</v>
      </c>
      <c r="D54" s="45" t="s">
        <v>269</v>
      </c>
      <c r="E54" s="45" t="s">
        <v>270</v>
      </c>
      <c r="F54" s="42" t="s">
        <v>77</v>
      </c>
      <c r="G54" s="38" t="s">
        <v>8</v>
      </c>
      <c r="H54" s="46"/>
      <c r="I54" s="40"/>
      <c r="J54" s="41"/>
      <c r="K54" s="46"/>
    </row>
    <row r="55" spans="1:11" ht="30.6" customHeight="1" x14ac:dyDescent="0.3">
      <c r="A55" s="56" t="s">
        <v>27</v>
      </c>
      <c r="B55" s="44" t="s">
        <v>271</v>
      </c>
      <c r="C55" s="45" t="s">
        <v>272</v>
      </c>
      <c r="D55" s="45" t="s">
        <v>273</v>
      </c>
      <c r="E55" s="45" t="s">
        <v>274</v>
      </c>
      <c r="F55" s="42" t="s">
        <v>77</v>
      </c>
      <c r="G55" s="38" t="s">
        <v>8</v>
      </c>
      <c r="H55" s="46"/>
      <c r="I55" s="40"/>
      <c r="J55" s="41"/>
      <c r="K55" s="46"/>
    </row>
    <row r="56" spans="1:11" ht="30.6" customHeight="1" x14ac:dyDescent="0.3">
      <c r="A56" s="56" t="s">
        <v>27</v>
      </c>
      <c r="B56" s="44" t="s">
        <v>275</v>
      </c>
      <c r="C56" s="45" t="s">
        <v>276</v>
      </c>
      <c r="D56" s="45" t="s">
        <v>277</v>
      </c>
      <c r="E56" s="45" t="s">
        <v>278</v>
      </c>
      <c r="F56" s="43" t="s">
        <v>86</v>
      </c>
      <c r="G56" s="38" t="s">
        <v>8</v>
      </c>
      <c r="H56" s="46"/>
      <c r="I56" s="40"/>
      <c r="J56" s="41"/>
      <c r="K56" s="46"/>
    </row>
    <row r="57" spans="1:11" ht="30.6" customHeight="1" x14ac:dyDescent="0.3">
      <c r="A57" s="56" t="s">
        <v>27</v>
      </c>
      <c r="B57" s="44" t="s">
        <v>279</v>
      </c>
      <c r="C57" s="45" t="s">
        <v>280</v>
      </c>
      <c r="D57" s="45" t="s">
        <v>281</v>
      </c>
      <c r="E57" s="45" t="s">
        <v>282</v>
      </c>
      <c r="F57" s="37" t="s">
        <v>68</v>
      </c>
      <c r="G57" s="38" t="s">
        <v>8</v>
      </c>
      <c r="H57" s="46"/>
      <c r="I57" s="40"/>
      <c r="J57" s="41"/>
      <c r="K57" s="46"/>
    </row>
    <row r="58" spans="1:11" ht="30.6" customHeight="1" x14ac:dyDescent="0.3">
      <c r="A58" s="56" t="s">
        <v>27</v>
      </c>
      <c r="B58" s="44" t="s">
        <v>283</v>
      </c>
      <c r="C58" s="45" t="s">
        <v>284</v>
      </c>
      <c r="D58" s="45" t="s">
        <v>285</v>
      </c>
      <c r="E58" s="45" t="s">
        <v>286</v>
      </c>
      <c r="F58" s="42" t="s">
        <v>77</v>
      </c>
      <c r="G58" s="38" t="s">
        <v>8</v>
      </c>
      <c r="H58" s="46"/>
      <c r="I58" s="40"/>
      <c r="J58" s="41"/>
      <c r="K58" s="46"/>
    </row>
    <row r="59" spans="1:11" ht="30.6" customHeight="1" x14ac:dyDescent="0.3">
      <c r="A59" s="56" t="s">
        <v>27</v>
      </c>
      <c r="B59" s="44" t="s">
        <v>287</v>
      </c>
      <c r="C59" s="45" t="s">
        <v>288</v>
      </c>
      <c r="D59" s="45" t="s">
        <v>289</v>
      </c>
      <c r="E59" s="45" t="s">
        <v>290</v>
      </c>
      <c r="F59" s="42" t="s">
        <v>77</v>
      </c>
      <c r="G59" s="38" t="s">
        <v>8</v>
      </c>
      <c r="H59" s="46"/>
      <c r="I59" s="40"/>
      <c r="J59" s="41"/>
      <c r="K59" s="46"/>
    </row>
    <row r="60" spans="1:11" ht="30.6" customHeight="1" x14ac:dyDescent="0.3">
      <c r="A60" s="56" t="s">
        <v>27</v>
      </c>
      <c r="B60" s="44" t="s">
        <v>291</v>
      </c>
      <c r="C60" s="45" t="s">
        <v>292</v>
      </c>
      <c r="D60" s="45" t="s">
        <v>293</v>
      </c>
      <c r="E60" s="45" t="s">
        <v>294</v>
      </c>
      <c r="F60" s="37" t="s">
        <v>68</v>
      </c>
      <c r="G60" s="38" t="s">
        <v>8</v>
      </c>
      <c r="H60" s="46"/>
      <c r="I60" s="40"/>
      <c r="J60" s="41"/>
      <c r="K60" s="46"/>
    </row>
    <row r="61" spans="1:11" ht="30.6" customHeight="1" x14ac:dyDescent="0.3">
      <c r="A61" s="56" t="s">
        <v>27</v>
      </c>
      <c r="B61" s="44" t="s">
        <v>295</v>
      </c>
      <c r="C61" s="45" t="s">
        <v>296</v>
      </c>
      <c r="D61" s="45" t="s">
        <v>297</v>
      </c>
      <c r="E61" s="45" t="s">
        <v>298</v>
      </c>
      <c r="F61" s="43" t="s">
        <v>86</v>
      </c>
      <c r="G61" s="38" t="s">
        <v>8</v>
      </c>
      <c r="H61" s="46"/>
      <c r="I61" s="40"/>
      <c r="J61" s="41"/>
      <c r="K61" s="46"/>
    </row>
    <row r="62" spans="1:11" ht="30.6" customHeight="1" x14ac:dyDescent="0.3">
      <c r="A62" s="56" t="s">
        <v>27</v>
      </c>
      <c r="B62" s="44" t="s">
        <v>299</v>
      </c>
      <c r="C62" s="45" t="s">
        <v>300</v>
      </c>
      <c r="D62" s="45" t="s">
        <v>301</v>
      </c>
      <c r="E62" s="45" t="s">
        <v>302</v>
      </c>
      <c r="F62" s="43" t="s">
        <v>86</v>
      </c>
      <c r="G62" s="38" t="s">
        <v>8</v>
      </c>
      <c r="H62" s="46"/>
      <c r="I62" s="40"/>
      <c r="J62" s="41"/>
      <c r="K62" s="46"/>
    </row>
    <row r="63" spans="1:11" ht="30.6" customHeight="1" x14ac:dyDescent="0.3">
      <c r="A63" s="56" t="s">
        <v>27</v>
      </c>
      <c r="B63" s="44" t="s">
        <v>303</v>
      </c>
      <c r="C63" s="45" t="s">
        <v>304</v>
      </c>
      <c r="D63" s="45" t="s">
        <v>305</v>
      </c>
      <c r="E63" s="45" t="s">
        <v>306</v>
      </c>
      <c r="F63" s="43" t="s">
        <v>86</v>
      </c>
      <c r="G63" s="38" t="s">
        <v>8</v>
      </c>
      <c r="H63" s="46"/>
      <c r="I63" s="40"/>
      <c r="J63" s="41"/>
      <c r="K63" s="46"/>
    </row>
    <row r="64" spans="1:11" ht="30.6" customHeight="1" x14ac:dyDescent="0.3">
      <c r="A64" s="55" t="s">
        <v>30</v>
      </c>
      <c r="B64" s="35" t="s">
        <v>307</v>
      </c>
      <c r="C64" s="36" t="s">
        <v>308</v>
      </c>
      <c r="D64" s="36" t="s">
        <v>309</v>
      </c>
      <c r="E64" s="36" t="s">
        <v>310</v>
      </c>
      <c r="F64" s="42" t="s">
        <v>77</v>
      </c>
      <c r="G64" s="38" t="s">
        <v>8</v>
      </c>
      <c r="H64" s="39"/>
      <c r="I64" s="40"/>
      <c r="J64" s="41"/>
      <c r="K64" s="39"/>
    </row>
    <row r="65" spans="1:11" ht="30.6" customHeight="1" x14ac:dyDescent="0.3">
      <c r="A65" s="55" t="s">
        <v>30</v>
      </c>
      <c r="B65" s="35" t="s">
        <v>311</v>
      </c>
      <c r="C65" s="36" t="s">
        <v>312</v>
      </c>
      <c r="D65" s="36" t="s">
        <v>313</v>
      </c>
      <c r="E65" s="36" t="s">
        <v>314</v>
      </c>
      <c r="F65" s="42" t="s">
        <v>77</v>
      </c>
      <c r="G65" s="38" t="s">
        <v>8</v>
      </c>
      <c r="H65" s="39"/>
      <c r="I65" s="40"/>
      <c r="J65" s="41"/>
      <c r="K65" s="39"/>
    </row>
    <row r="66" spans="1:11" ht="30.6" customHeight="1" x14ac:dyDescent="0.3">
      <c r="A66" s="55" t="s">
        <v>30</v>
      </c>
      <c r="B66" s="35" t="s">
        <v>315</v>
      </c>
      <c r="C66" s="36" t="s">
        <v>316</v>
      </c>
      <c r="D66" s="36" t="s">
        <v>317</v>
      </c>
      <c r="E66" s="36" t="s">
        <v>318</v>
      </c>
      <c r="F66" s="42" t="s">
        <v>77</v>
      </c>
      <c r="G66" s="38" t="s">
        <v>8</v>
      </c>
      <c r="H66" s="39"/>
      <c r="I66" s="40"/>
      <c r="J66" s="41"/>
      <c r="K66" s="39"/>
    </row>
    <row r="67" spans="1:11" ht="30.6" customHeight="1" x14ac:dyDescent="0.3">
      <c r="A67" s="55" t="s">
        <v>30</v>
      </c>
      <c r="B67" s="35" t="s">
        <v>319</v>
      </c>
      <c r="C67" s="36" t="s">
        <v>320</v>
      </c>
      <c r="D67" s="36" t="s">
        <v>321</v>
      </c>
      <c r="E67" s="36" t="s">
        <v>322</v>
      </c>
      <c r="F67" s="43" t="s">
        <v>86</v>
      </c>
      <c r="G67" s="38" t="s">
        <v>8</v>
      </c>
      <c r="H67" s="39"/>
      <c r="I67" s="40"/>
      <c r="J67" s="41"/>
      <c r="K67" s="39"/>
    </row>
    <row r="68" spans="1:11" ht="30.6" customHeight="1" x14ac:dyDescent="0.3">
      <c r="A68" s="56" t="s">
        <v>33</v>
      </c>
      <c r="B68" s="44" t="s">
        <v>323</v>
      </c>
      <c r="C68" s="45" t="s">
        <v>324</v>
      </c>
      <c r="D68" s="45" t="s">
        <v>325</v>
      </c>
      <c r="E68" s="45" t="s">
        <v>326</v>
      </c>
      <c r="F68" s="42" t="s">
        <v>77</v>
      </c>
      <c r="G68" s="38" t="s">
        <v>8</v>
      </c>
      <c r="H68" s="46"/>
      <c r="I68" s="40"/>
      <c r="J68" s="41"/>
      <c r="K68" s="46"/>
    </row>
    <row r="69" spans="1:11" ht="30.6" customHeight="1" x14ac:dyDescent="0.3">
      <c r="A69" s="56" t="s">
        <v>33</v>
      </c>
      <c r="B69" s="44" t="s">
        <v>327</v>
      </c>
      <c r="C69" s="45" t="s">
        <v>328</v>
      </c>
      <c r="D69" s="45" t="s">
        <v>329</v>
      </c>
      <c r="E69" s="45" t="s">
        <v>330</v>
      </c>
      <c r="F69" s="43" t="s">
        <v>86</v>
      </c>
      <c r="G69" s="38" t="s">
        <v>8</v>
      </c>
      <c r="H69" s="46"/>
      <c r="I69" s="40"/>
      <c r="J69" s="41"/>
      <c r="K69" s="46"/>
    </row>
    <row r="70" spans="1:11" ht="30.6" customHeight="1" x14ac:dyDescent="0.3">
      <c r="A70" s="56" t="s">
        <v>33</v>
      </c>
      <c r="B70" s="44" t="s">
        <v>331</v>
      </c>
      <c r="C70" s="45" t="s">
        <v>332</v>
      </c>
      <c r="D70" s="45" t="s">
        <v>333</v>
      </c>
      <c r="E70" s="45" t="s">
        <v>334</v>
      </c>
      <c r="F70" s="42" t="s">
        <v>77</v>
      </c>
      <c r="G70" s="38" t="s">
        <v>8</v>
      </c>
      <c r="H70" s="46"/>
      <c r="I70" s="40"/>
      <c r="J70" s="41"/>
      <c r="K70" s="46"/>
    </row>
    <row r="71" spans="1:11" ht="30.6" customHeight="1" x14ac:dyDescent="0.3">
      <c r="A71" s="56" t="s">
        <v>33</v>
      </c>
      <c r="B71" s="44" t="s">
        <v>335</v>
      </c>
      <c r="C71" s="45" t="s">
        <v>336</v>
      </c>
      <c r="D71" s="45" t="s">
        <v>337</v>
      </c>
      <c r="E71" s="45" t="s">
        <v>338</v>
      </c>
      <c r="F71" s="42" t="s">
        <v>77</v>
      </c>
      <c r="G71" s="38" t="s">
        <v>8</v>
      </c>
      <c r="H71" s="46"/>
      <c r="I71" s="40"/>
      <c r="J71" s="41"/>
      <c r="K71" s="46"/>
    </row>
    <row r="72" spans="1:11" ht="30.6" customHeight="1" x14ac:dyDescent="0.3">
      <c r="A72" s="56" t="s">
        <v>33</v>
      </c>
      <c r="B72" s="44" t="s">
        <v>339</v>
      </c>
      <c r="C72" s="45" t="s">
        <v>340</v>
      </c>
      <c r="D72" s="45" t="s">
        <v>341</v>
      </c>
      <c r="E72" s="45" t="s">
        <v>342</v>
      </c>
      <c r="F72" s="43" t="s">
        <v>86</v>
      </c>
      <c r="G72" s="38" t="s">
        <v>8</v>
      </c>
      <c r="H72" s="46"/>
      <c r="I72" s="40"/>
      <c r="J72" s="41"/>
      <c r="K72" s="46"/>
    </row>
    <row r="73" spans="1:11" ht="30.6" customHeight="1" x14ac:dyDescent="0.3">
      <c r="A73" s="56" t="s">
        <v>33</v>
      </c>
      <c r="B73" s="44" t="s">
        <v>343</v>
      </c>
      <c r="C73" s="45" t="s">
        <v>344</v>
      </c>
      <c r="D73" s="45" t="s">
        <v>345</v>
      </c>
      <c r="E73" s="45" t="s">
        <v>346</v>
      </c>
      <c r="F73" s="43" t="s">
        <v>86</v>
      </c>
      <c r="G73" s="38" t="s">
        <v>8</v>
      </c>
      <c r="H73" s="46"/>
      <c r="I73" s="40"/>
      <c r="J73" s="41"/>
      <c r="K73" s="46"/>
    </row>
    <row r="74" spans="1:11" ht="30.6" customHeight="1" x14ac:dyDescent="0.3">
      <c r="A74" s="56" t="s">
        <v>33</v>
      </c>
      <c r="B74" s="44" t="s">
        <v>347</v>
      </c>
      <c r="C74" s="45" t="s">
        <v>348</v>
      </c>
      <c r="D74" s="45" t="s">
        <v>349</v>
      </c>
      <c r="E74" s="45" t="s">
        <v>350</v>
      </c>
      <c r="F74" s="43" t="s">
        <v>86</v>
      </c>
      <c r="G74" s="38" t="s">
        <v>8</v>
      </c>
      <c r="H74" s="46"/>
      <c r="I74" s="40"/>
      <c r="J74" s="41"/>
      <c r="K74" s="46"/>
    </row>
    <row r="75" spans="1:11" ht="30.6" customHeight="1" x14ac:dyDescent="0.3">
      <c r="A75" s="55" t="s">
        <v>36</v>
      </c>
      <c r="B75" s="35" t="s">
        <v>351</v>
      </c>
      <c r="C75" s="36" t="s">
        <v>352</v>
      </c>
      <c r="D75" s="36" t="s">
        <v>353</v>
      </c>
      <c r="E75" s="36" t="s">
        <v>354</v>
      </c>
      <c r="F75" s="37" t="s">
        <v>68</v>
      </c>
      <c r="G75" s="38" t="s">
        <v>8</v>
      </c>
      <c r="H75" s="39"/>
      <c r="I75" s="40"/>
      <c r="J75" s="41"/>
      <c r="K75" s="39"/>
    </row>
    <row r="76" spans="1:11" ht="30.6" customHeight="1" x14ac:dyDescent="0.3">
      <c r="A76" s="55" t="s">
        <v>36</v>
      </c>
      <c r="B76" s="35" t="s">
        <v>355</v>
      </c>
      <c r="C76" s="36" t="s">
        <v>356</v>
      </c>
      <c r="D76" s="36" t="s">
        <v>357</v>
      </c>
      <c r="E76" s="36" t="s">
        <v>358</v>
      </c>
      <c r="F76" s="37" t="s">
        <v>68</v>
      </c>
      <c r="G76" s="38" t="s">
        <v>8</v>
      </c>
      <c r="H76" s="39"/>
      <c r="I76" s="40"/>
      <c r="J76" s="41"/>
      <c r="K76" s="39"/>
    </row>
    <row r="77" spans="1:11" ht="30.6" customHeight="1" x14ac:dyDescent="0.3">
      <c r="A77" s="55" t="s">
        <v>36</v>
      </c>
      <c r="B77" s="35" t="s">
        <v>359</v>
      </c>
      <c r="C77" s="36" t="s">
        <v>360</v>
      </c>
      <c r="D77" s="36" t="s">
        <v>361</v>
      </c>
      <c r="E77" s="36" t="s">
        <v>362</v>
      </c>
      <c r="F77" s="37" t="s">
        <v>68</v>
      </c>
      <c r="G77" s="38" t="s">
        <v>8</v>
      </c>
      <c r="H77" s="39"/>
      <c r="I77" s="40"/>
      <c r="J77" s="41"/>
      <c r="K77" s="39"/>
    </row>
    <row r="78" spans="1:11" ht="30.6" customHeight="1" x14ac:dyDescent="0.3">
      <c r="A78" s="55" t="s">
        <v>36</v>
      </c>
      <c r="B78" s="35" t="s">
        <v>363</v>
      </c>
      <c r="C78" s="36" t="s">
        <v>364</v>
      </c>
      <c r="D78" s="36" t="s">
        <v>365</v>
      </c>
      <c r="E78" s="36" t="s">
        <v>366</v>
      </c>
      <c r="F78" s="42" t="s">
        <v>77</v>
      </c>
      <c r="G78" s="38" t="s">
        <v>8</v>
      </c>
      <c r="H78" s="39"/>
      <c r="I78" s="40"/>
      <c r="J78" s="41"/>
      <c r="K78" s="39"/>
    </row>
    <row r="79" spans="1:11" ht="30.6" customHeight="1" x14ac:dyDescent="0.3">
      <c r="A79" s="56" t="s">
        <v>39</v>
      </c>
      <c r="B79" s="44" t="s">
        <v>367</v>
      </c>
      <c r="C79" s="45" t="s">
        <v>368</v>
      </c>
      <c r="D79" s="45" t="s">
        <v>369</v>
      </c>
      <c r="E79" s="45" t="s">
        <v>370</v>
      </c>
      <c r="F79" s="42" t="s">
        <v>77</v>
      </c>
      <c r="G79" s="38" t="s">
        <v>8</v>
      </c>
      <c r="H79" s="46"/>
      <c r="I79" s="40"/>
      <c r="J79" s="41"/>
      <c r="K79" s="46"/>
    </row>
    <row r="80" spans="1:11" ht="30.6" customHeight="1" x14ac:dyDescent="0.3">
      <c r="A80" s="56" t="s">
        <v>39</v>
      </c>
      <c r="B80" s="44" t="s">
        <v>371</v>
      </c>
      <c r="C80" s="45" t="s">
        <v>372</v>
      </c>
      <c r="D80" s="45" t="s">
        <v>373</v>
      </c>
      <c r="E80" s="45" t="s">
        <v>374</v>
      </c>
      <c r="F80" s="42" t="s">
        <v>77</v>
      </c>
      <c r="G80" s="38" t="s">
        <v>8</v>
      </c>
      <c r="H80" s="46"/>
      <c r="I80" s="40"/>
      <c r="J80" s="41"/>
      <c r="K80" s="46"/>
    </row>
    <row r="81" spans="1:11" ht="30.6" customHeight="1" x14ac:dyDescent="0.3">
      <c r="A81" s="56" t="s">
        <v>39</v>
      </c>
      <c r="B81" s="44" t="s">
        <v>375</v>
      </c>
      <c r="C81" s="45" t="s">
        <v>376</v>
      </c>
      <c r="D81" s="45" t="s">
        <v>377</v>
      </c>
      <c r="E81" s="45" t="s">
        <v>378</v>
      </c>
      <c r="F81" s="42" t="s">
        <v>77</v>
      </c>
      <c r="G81" s="38" t="s">
        <v>8</v>
      </c>
      <c r="H81" s="46"/>
      <c r="I81" s="40"/>
      <c r="J81" s="41"/>
      <c r="K81" s="46"/>
    </row>
    <row r="82" spans="1:11" ht="30.6" customHeight="1" x14ac:dyDescent="0.3">
      <c r="A82" s="56" t="s">
        <v>39</v>
      </c>
      <c r="B82" s="44" t="s">
        <v>379</v>
      </c>
      <c r="C82" s="45" t="s">
        <v>380</v>
      </c>
      <c r="D82" s="45" t="s">
        <v>381</v>
      </c>
      <c r="E82" s="45" t="s">
        <v>382</v>
      </c>
      <c r="F82" s="42" t="s">
        <v>77</v>
      </c>
      <c r="G82" s="38" t="s">
        <v>8</v>
      </c>
      <c r="H82" s="46"/>
      <c r="I82" s="40"/>
      <c r="J82" s="41"/>
      <c r="K82" s="46"/>
    </row>
    <row r="83" spans="1:11" ht="30.6" customHeight="1" x14ac:dyDescent="0.3">
      <c r="A83" s="56" t="s">
        <v>39</v>
      </c>
      <c r="B83" s="44" t="s">
        <v>383</v>
      </c>
      <c r="C83" s="45" t="s">
        <v>384</v>
      </c>
      <c r="D83" s="45" t="s">
        <v>385</v>
      </c>
      <c r="E83" s="45" t="s">
        <v>386</v>
      </c>
      <c r="F83" s="42" t="s">
        <v>77</v>
      </c>
      <c r="G83" s="38" t="s">
        <v>8</v>
      </c>
      <c r="H83" s="46"/>
      <c r="I83" s="40"/>
      <c r="J83" s="41"/>
      <c r="K83" s="46"/>
    </row>
    <row r="84" spans="1:11" ht="30.6" customHeight="1" x14ac:dyDescent="0.3">
      <c r="A84" s="56" t="s">
        <v>39</v>
      </c>
      <c r="B84" s="44" t="s">
        <v>387</v>
      </c>
      <c r="C84" s="45" t="s">
        <v>388</v>
      </c>
      <c r="D84" s="45" t="s">
        <v>389</v>
      </c>
      <c r="E84" s="45" t="s">
        <v>390</v>
      </c>
      <c r="F84" s="42" t="s">
        <v>77</v>
      </c>
      <c r="G84" s="38" t="s">
        <v>8</v>
      </c>
      <c r="H84" s="46"/>
      <c r="I84" s="40"/>
      <c r="J84" s="41"/>
      <c r="K84" s="46"/>
    </row>
    <row r="85" spans="1:11" ht="30.6" customHeight="1" x14ac:dyDescent="0.3">
      <c r="A85" s="55" t="s">
        <v>42</v>
      </c>
      <c r="B85" s="35" t="s">
        <v>391</v>
      </c>
      <c r="C85" s="36" t="s">
        <v>392</v>
      </c>
      <c r="D85" s="36" t="s">
        <v>393</v>
      </c>
      <c r="E85" s="36" t="s">
        <v>394</v>
      </c>
      <c r="F85" s="42" t="s">
        <v>77</v>
      </c>
      <c r="G85" s="38" t="s">
        <v>8</v>
      </c>
      <c r="H85" s="39"/>
      <c r="I85" s="40"/>
      <c r="J85" s="41"/>
      <c r="K85" s="39"/>
    </row>
    <row r="86" spans="1:11" ht="30.6" customHeight="1" x14ac:dyDescent="0.3">
      <c r="A86" s="55" t="s">
        <v>42</v>
      </c>
      <c r="B86" s="35" t="s">
        <v>395</v>
      </c>
      <c r="C86" s="36" t="s">
        <v>396</v>
      </c>
      <c r="D86" s="36" t="s">
        <v>397</v>
      </c>
      <c r="E86" s="36" t="s">
        <v>398</v>
      </c>
      <c r="F86" s="43" t="s">
        <v>86</v>
      </c>
      <c r="G86" s="38" t="s">
        <v>8</v>
      </c>
      <c r="H86" s="39"/>
      <c r="I86" s="40"/>
      <c r="J86" s="41"/>
      <c r="K86" s="39"/>
    </row>
    <row r="87" spans="1:11" ht="30.6" customHeight="1" x14ac:dyDescent="0.3">
      <c r="A87" s="55" t="s">
        <v>42</v>
      </c>
      <c r="B87" s="35" t="s">
        <v>399</v>
      </c>
      <c r="C87" s="36" t="s">
        <v>400</v>
      </c>
      <c r="D87" s="36" t="s">
        <v>401</v>
      </c>
      <c r="E87" s="36" t="s">
        <v>402</v>
      </c>
      <c r="F87" s="43" t="s">
        <v>86</v>
      </c>
      <c r="G87" s="38" t="s">
        <v>8</v>
      </c>
      <c r="H87" s="39"/>
      <c r="I87" s="40"/>
      <c r="J87" s="41"/>
      <c r="K87" s="39"/>
    </row>
    <row r="88" spans="1:11" ht="30.6" customHeight="1" x14ac:dyDescent="0.3">
      <c r="A88" s="55" t="s">
        <v>42</v>
      </c>
      <c r="B88" s="35" t="s">
        <v>403</v>
      </c>
      <c r="C88" s="36" t="s">
        <v>404</v>
      </c>
      <c r="D88" s="36" t="s">
        <v>405</v>
      </c>
      <c r="E88" s="36" t="s">
        <v>406</v>
      </c>
      <c r="F88" s="43" t="s">
        <v>86</v>
      </c>
      <c r="G88" s="38" t="s">
        <v>8</v>
      </c>
      <c r="H88" s="39"/>
      <c r="I88" s="40"/>
      <c r="J88" s="41"/>
      <c r="K88" s="39"/>
    </row>
    <row r="89" spans="1:11" ht="30.6" customHeight="1" x14ac:dyDescent="0.3">
      <c r="A89" s="55" t="s">
        <v>42</v>
      </c>
      <c r="B89" s="35" t="s">
        <v>407</v>
      </c>
      <c r="C89" s="36" t="s">
        <v>408</v>
      </c>
      <c r="D89" s="36" t="s">
        <v>409</v>
      </c>
      <c r="E89" s="36" t="s">
        <v>410</v>
      </c>
      <c r="F89" s="42" t="s">
        <v>77</v>
      </c>
      <c r="G89" s="38" t="s">
        <v>8</v>
      </c>
      <c r="H89" s="39"/>
      <c r="I89" s="40"/>
      <c r="J89" s="41"/>
      <c r="K89" s="39"/>
    </row>
    <row r="90" spans="1:11" ht="30.6" customHeight="1" x14ac:dyDescent="0.3">
      <c r="A90" s="55" t="s">
        <v>42</v>
      </c>
      <c r="B90" s="35" t="s">
        <v>411</v>
      </c>
      <c r="C90" s="36" t="s">
        <v>412</v>
      </c>
      <c r="D90" s="36" t="s">
        <v>413</v>
      </c>
      <c r="E90" s="36" t="s">
        <v>414</v>
      </c>
      <c r="F90" s="43" t="s">
        <v>86</v>
      </c>
      <c r="G90" s="38" t="s">
        <v>8</v>
      </c>
      <c r="H90" s="39"/>
      <c r="I90" s="40"/>
      <c r="J90" s="41"/>
      <c r="K90" s="39"/>
    </row>
  </sheetData>
  <autoFilter ref="A3:K90" xr:uid="{00000000-0009-0000-0000-000001000000}"/>
  <mergeCells count="2">
    <mergeCell ref="A1:K1"/>
    <mergeCell ref="A2:K2"/>
  </mergeCells>
  <conditionalFormatting sqref="A4:H4">
    <cfRule type="expression" dxfId="695" priority="2">
      <formula>$G$4="✅ PASS"</formula>
    </cfRule>
    <cfRule type="expression" dxfId="694" priority="3">
      <formula>$G$4="❌ FAIL"</formula>
    </cfRule>
    <cfRule type="expression" dxfId="693" priority="4">
      <formula>$G$4="⚠️ PARTIEL"</formula>
    </cfRule>
    <cfRule type="expression" dxfId="692" priority="5">
      <formula>$G$4="🚫 N/A"</formula>
    </cfRule>
  </conditionalFormatting>
  <conditionalFormatting sqref="A5:H5">
    <cfRule type="expression" dxfId="691" priority="41">
      <formula>$G$5="🚫 N/A"</formula>
    </cfRule>
    <cfRule type="expression" dxfId="690" priority="40">
      <formula>$G$5="⚠️ PARTIEL"</formula>
    </cfRule>
    <cfRule type="expression" dxfId="689" priority="38">
      <formula>$G$5="✅ PASS"</formula>
    </cfRule>
    <cfRule type="expression" dxfId="688" priority="39">
      <formula>$G$5="❌ FAIL"</formula>
    </cfRule>
  </conditionalFormatting>
  <conditionalFormatting sqref="A6:H6">
    <cfRule type="expression" dxfId="687" priority="76">
      <formula>$G$6="⚠️ PARTIEL"</formula>
    </cfRule>
    <cfRule type="expression" dxfId="686" priority="77">
      <formula>$G$6="🚫 N/A"</formula>
    </cfRule>
    <cfRule type="expression" dxfId="685" priority="75">
      <formula>$G$6="❌ FAIL"</formula>
    </cfRule>
    <cfRule type="expression" dxfId="684" priority="74">
      <formula>$G$6="✅ PASS"</formula>
    </cfRule>
  </conditionalFormatting>
  <conditionalFormatting sqref="A7:H7">
    <cfRule type="expression" dxfId="683" priority="112">
      <formula>$G$7="⚠️ PARTIEL"</formula>
    </cfRule>
    <cfRule type="expression" dxfId="682" priority="111">
      <formula>$G$7="❌ FAIL"</formula>
    </cfRule>
    <cfRule type="expression" dxfId="681" priority="110">
      <formula>$G$7="✅ PASS"</formula>
    </cfRule>
    <cfRule type="expression" dxfId="680" priority="113">
      <formula>$G$7="🚫 N/A"</formula>
    </cfRule>
  </conditionalFormatting>
  <conditionalFormatting sqref="A8:H8">
    <cfRule type="expression" dxfId="679" priority="149">
      <formula>$G$8="🚫 N/A"</formula>
    </cfRule>
    <cfRule type="expression" dxfId="678" priority="148">
      <formula>$G$8="⚠️ PARTIEL"</formula>
    </cfRule>
    <cfRule type="expression" dxfId="677" priority="147">
      <formula>$G$8="❌ FAIL"</formula>
    </cfRule>
    <cfRule type="expression" dxfId="676" priority="146">
      <formula>$G$8="✅ PASS"</formula>
    </cfRule>
  </conditionalFormatting>
  <conditionalFormatting sqref="A9:H9">
    <cfRule type="expression" dxfId="675" priority="182">
      <formula>$G$9="✅ PASS"</formula>
    </cfRule>
    <cfRule type="expression" dxfId="674" priority="183">
      <formula>$G$9="❌ FAIL"</formula>
    </cfRule>
    <cfRule type="expression" dxfId="673" priority="184">
      <formula>$G$9="⚠️ PARTIEL"</formula>
    </cfRule>
    <cfRule type="expression" dxfId="672" priority="185">
      <formula>$G$9="🚫 N/A"</formula>
    </cfRule>
  </conditionalFormatting>
  <conditionalFormatting sqref="A10:H10">
    <cfRule type="expression" dxfId="671" priority="218">
      <formula>$G$10="✅ PASS"</formula>
    </cfRule>
    <cfRule type="expression" dxfId="670" priority="219">
      <formula>$G$10="❌ FAIL"</formula>
    </cfRule>
    <cfRule type="expression" dxfId="669" priority="220">
      <formula>$G$10="⚠️ PARTIEL"</formula>
    </cfRule>
    <cfRule type="expression" dxfId="668" priority="221">
      <formula>$G$10="🚫 N/A"</formula>
    </cfRule>
  </conditionalFormatting>
  <conditionalFormatting sqref="A11:H11">
    <cfRule type="expression" dxfId="667" priority="257">
      <formula>$G$11="🚫 N/A"</formula>
    </cfRule>
    <cfRule type="expression" dxfId="666" priority="256">
      <formula>$G$11="⚠️ PARTIEL"</formula>
    </cfRule>
    <cfRule type="expression" dxfId="665" priority="255">
      <formula>$G$11="❌ FAIL"</formula>
    </cfRule>
    <cfRule type="expression" dxfId="664" priority="254">
      <formula>$G$11="✅ PASS"</formula>
    </cfRule>
  </conditionalFormatting>
  <conditionalFormatting sqref="A12:H12">
    <cfRule type="expression" dxfId="663" priority="293">
      <formula>$G$12="🚫 N/A"</formula>
    </cfRule>
    <cfRule type="expression" dxfId="662" priority="292">
      <formula>$G$12="⚠️ PARTIEL"</formula>
    </cfRule>
    <cfRule type="expression" dxfId="661" priority="290">
      <formula>$G$12="✅ PASS"</formula>
    </cfRule>
    <cfRule type="expression" dxfId="660" priority="291">
      <formula>$G$12="❌ FAIL"</formula>
    </cfRule>
  </conditionalFormatting>
  <conditionalFormatting sqref="A13:H13">
    <cfRule type="expression" dxfId="659" priority="327">
      <formula>$G$13="❌ FAIL"</formula>
    </cfRule>
    <cfRule type="expression" dxfId="658" priority="326">
      <formula>$G$13="✅ PASS"</formula>
    </cfRule>
    <cfRule type="expression" dxfId="657" priority="328">
      <formula>$G$13="⚠️ PARTIEL"</formula>
    </cfRule>
    <cfRule type="expression" dxfId="656" priority="329">
      <formula>$G$13="🚫 N/A"</formula>
    </cfRule>
  </conditionalFormatting>
  <conditionalFormatting sqref="A14:H14">
    <cfRule type="expression" dxfId="655" priority="365">
      <formula>$G$14="🚫 N/A"</formula>
    </cfRule>
    <cfRule type="expression" dxfId="654" priority="362">
      <formula>$G$14="✅ PASS"</formula>
    </cfRule>
    <cfRule type="expression" dxfId="653" priority="363">
      <formula>$G$14="❌ FAIL"</formula>
    </cfRule>
    <cfRule type="expression" dxfId="652" priority="364">
      <formula>$G$14="⚠️ PARTIEL"</formula>
    </cfRule>
  </conditionalFormatting>
  <conditionalFormatting sqref="A15:H15">
    <cfRule type="expression" dxfId="651" priority="401">
      <formula>$G$15="🚫 N/A"</formula>
    </cfRule>
    <cfRule type="expression" dxfId="650" priority="400">
      <formula>$G$15="⚠️ PARTIEL"</formula>
    </cfRule>
    <cfRule type="expression" dxfId="649" priority="399">
      <formula>$G$15="❌ FAIL"</formula>
    </cfRule>
    <cfRule type="expression" dxfId="648" priority="398">
      <formula>$G$15="✅ PASS"</formula>
    </cfRule>
  </conditionalFormatting>
  <conditionalFormatting sqref="A16:H16">
    <cfRule type="expression" dxfId="647" priority="435">
      <formula>$G$16="❌ FAIL"</formula>
    </cfRule>
    <cfRule type="expression" dxfId="646" priority="436">
      <formula>$G$16="⚠️ PARTIEL"</formula>
    </cfRule>
    <cfRule type="expression" dxfId="645" priority="437">
      <formula>$G$16="🚫 N/A"</formula>
    </cfRule>
    <cfRule type="expression" dxfId="644" priority="434">
      <formula>$G$16="✅ PASS"</formula>
    </cfRule>
  </conditionalFormatting>
  <conditionalFormatting sqref="A17:H17">
    <cfRule type="expression" dxfId="643" priority="473">
      <formula>$G$17="🚫 N/A"</formula>
    </cfRule>
    <cfRule type="expression" dxfId="642" priority="470">
      <formula>$G$17="✅ PASS"</formula>
    </cfRule>
    <cfRule type="expression" dxfId="641" priority="472">
      <formula>$G$17="⚠️ PARTIEL"</formula>
    </cfRule>
    <cfRule type="expression" dxfId="640" priority="471">
      <formula>$G$17="❌ FAIL"</formula>
    </cfRule>
  </conditionalFormatting>
  <conditionalFormatting sqref="A18:H18">
    <cfRule type="expression" dxfId="639" priority="509">
      <formula>$G$18="🚫 N/A"</formula>
    </cfRule>
    <cfRule type="expression" dxfId="638" priority="508">
      <formula>$G$18="⚠️ PARTIEL"</formula>
    </cfRule>
    <cfRule type="expression" dxfId="637" priority="506">
      <formula>$G$18="✅ PASS"</formula>
    </cfRule>
    <cfRule type="expression" dxfId="636" priority="507">
      <formula>$G$18="❌ FAIL"</formula>
    </cfRule>
  </conditionalFormatting>
  <conditionalFormatting sqref="A19:H19">
    <cfRule type="expression" dxfId="635" priority="545">
      <formula>$G$19="🚫 N/A"</formula>
    </cfRule>
    <cfRule type="expression" dxfId="634" priority="544">
      <formula>$G$19="⚠️ PARTIEL"</formula>
    </cfRule>
    <cfRule type="expression" dxfId="633" priority="543">
      <formula>$G$19="❌ FAIL"</formula>
    </cfRule>
    <cfRule type="expression" dxfId="632" priority="542">
      <formula>$G$19="✅ PASS"</formula>
    </cfRule>
  </conditionalFormatting>
  <conditionalFormatting sqref="A20:H20">
    <cfRule type="expression" dxfId="631" priority="580">
      <formula>$G$20="⚠️ PARTIEL"</formula>
    </cfRule>
    <cfRule type="expression" dxfId="630" priority="578">
      <formula>$G$20="✅ PASS"</formula>
    </cfRule>
    <cfRule type="expression" dxfId="629" priority="579">
      <formula>$G$20="❌ FAIL"</formula>
    </cfRule>
    <cfRule type="expression" dxfId="628" priority="581">
      <formula>$G$20="🚫 N/A"</formula>
    </cfRule>
  </conditionalFormatting>
  <conditionalFormatting sqref="A21:H21">
    <cfRule type="expression" dxfId="627" priority="617">
      <formula>$G$21="🚫 N/A"</formula>
    </cfRule>
    <cfRule type="expression" dxfId="626" priority="616">
      <formula>$G$21="⚠️ PARTIEL"</formula>
    </cfRule>
    <cfRule type="expression" dxfId="625" priority="615">
      <formula>$G$21="❌ FAIL"</formula>
    </cfRule>
    <cfRule type="expression" dxfId="624" priority="614">
      <formula>$G$21="✅ PASS"</formula>
    </cfRule>
  </conditionalFormatting>
  <conditionalFormatting sqref="A22:H22">
    <cfRule type="expression" dxfId="623" priority="650">
      <formula>$G$22="✅ PASS"</formula>
    </cfRule>
    <cfRule type="expression" dxfId="622" priority="651">
      <formula>$G$22="❌ FAIL"</formula>
    </cfRule>
    <cfRule type="expression" dxfId="621" priority="652">
      <formula>$G$22="⚠️ PARTIEL"</formula>
    </cfRule>
    <cfRule type="expression" dxfId="620" priority="653">
      <formula>$G$22="🚫 N/A"</formula>
    </cfRule>
  </conditionalFormatting>
  <conditionalFormatting sqref="A23:H23">
    <cfRule type="expression" dxfId="619" priority="689">
      <formula>$G$23="🚫 N/A"</formula>
    </cfRule>
    <cfRule type="expression" dxfId="618" priority="688">
      <formula>$G$23="⚠️ PARTIEL"</formula>
    </cfRule>
    <cfRule type="expression" dxfId="617" priority="687">
      <formula>$G$23="❌ FAIL"</formula>
    </cfRule>
    <cfRule type="expression" dxfId="616" priority="686">
      <formula>$G$23="✅ PASS"</formula>
    </cfRule>
  </conditionalFormatting>
  <conditionalFormatting sqref="A24:H24">
    <cfRule type="expression" dxfId="615" priority="725">
      <formula>$G$24="🚫 N/A"</formula>
    </cfRule>
    <cfRule type="expression" dxfId="614" priority="724">
      <formula>$G$24="⚠️ PARTIEL"</formula>
    </cfRule>
    <cfRule type="expression" dxfId="613" priority="723">
      <formula>$G$24="❌ FAIL"</formula>
    </cfRule>
    <cfRule type="expression" dxfId="612" priority="722">
      <formula>$G$24="✅ PASS"</formula>
    </cfRule>
  </conditionalFormatting>
  <conditionalFormatting sqref="A25:H25">
    <cfRule type="expression" dxfId="611" priority="759">
      <formula>$G$25="❌ FAIL"</formula>
    </cfRule>
    <cfRule type="expression" dxfId="610" priority="761">
      <formula>$G$25="🚫 N/A"</formula>
    </cfRule>
    <cfRule type="expression" dxfId="609" priority="760">
      <formula>$G$25="⚠️ PARTIEL"</formula>
    </cfRule>
    <cfRule type="expression" dxfId="608" priority="758">
      <formula>$G$25="✅ PASS"</formula>
    </cfRule>
  </conditionalFormatting>
  <conditionalFormatting sqref="A26:H26">
    <cfRule type="expression" dxfId="607" priority="794">
      <formula>$G$26="✅ PASS"</formula>
    </cfRule>
    <cfRule type="expression" dxfId="606" priority="796">
      <formula>$G$26="⚠️ PARTIEL"</formula>
    </cfRule>
    <cfRule type="expression" dxfId="605" priority="795">
      <formula>$G$26="❌ FAIL"</formula>
    </cfRule>
    <cfRule type="expression" dxfId="604" priority="797">
      <formula>$G$26="🚫 N/A"</formula>
    </cfRule>
  </conditionalFormatting>
  <conditionalFormatting sqref="A27:H27">
    <cfRule type="expression" dxfId="603" priority="830">
      <formula>$G$27="✅ PASS"</formula>
    </cfRule>
    <cfRule type="expression" dxfId="602" priority="831">
      <formula>$G$27="❌ FAIL"</formula>
    </cfRule>
    <cfRule type="expression" dxfId="601" priority="832">
      <formula>$G$27="⚠️ PARTIEL"</formula>
    </cfRule>
    <cfRule type="expression" dxfId="600" priority="833">
      <formula>$G$27="🚫 N/A"</formula>
    </cfRule>
  </conditionalFormatting>
  <conditionalFormatting sqref="A28:H28">
    <cfRule type="expression" dxfId="599" priority="866">
      <formula>$G$28="✅ PASS"</formula>
    </cfRule>
    <cfRule type="expression" dxfId="598" priority="868">
      <formula>$G$28="⚠️ PARTIEL"</formula>
    </cfRule>
    <cfRule type="expression" dxfId="597" priority="869">
      <formula>$G$28="🚫 N/A"</formula>
    </cfRule>
    <cfRule type="expression" dxfId="596" priority="867">
      <formula>$G$28="❌ FAIL"</formula>
    </cfRule>
  </conditionalFormatting>
  <conditionalFormatting sqref="A29:H29">
    <cfRule type="expression" dxfId="595" priority="903">
      <formula>$G$29="❌ FAIL"</formula>
    </cfRule>
    <cfRule type="expression" dxfId="594" priority="902">
      <formula>$G$29="✅ PASS"</formula>
    </cfRule>
    <cfRule type="expression" dxfId="593" priority="904">
      <formula>$G$29="⚠️ PARTIEL"</formula>
    </cfRule>
    <cfRule type="expression" dxfId="592" priority="905">
      <formula>$G$29="🚫 N/A"</formula>
    </cfRule>
  </conditionalFormatting>
  <conditionalFormatting sqref="A30:H30">
    <cfRule type="expression" dxfId="591" priority="941">
      <formula>$G$30="🚫 N/A"</formula>
    </cfRule>
    <cfRule type="expression" dxfId="590" priority="940">
      <formula>$G$30="⚠️ PARTIEL"</formula>
    </cfRule>
    <cfRule type="expression" dxfId="589" priority="939">
      <formula>$G$30="❌ FAIL"</formula>
    </cfRule>
    <cfRule type="expression" dxfId="588" priority="938">
      <formula>$G$30="✅ PASS"</formula>
    </cfRule>
  </conditionalFormatting>
  <conditionalFormatting sqref="A31:H31">
    <cfRule type="expression" dxfId="587" priority="974">
      <formula>$G$31="✅ PASS"</formula>
    </cfRule>
    <cfRule type="expression" dxfId="586" priority="975">
      <formula>$G$31="❌ FAIL"</formula>
    </cfRule>
    <cfRule type="expression" dxfId="585" priority="976">
      <formula>$G$31="⚠️ PARTIEL"</formula>
    </cfRule>
    <cfRule type="expression" dxfId="584" priority="977">
      <formula>$G$31="🚫 N/A"</formula>
    </cfRule>
  </conditionalFormatting>
  <conditionalFormatting sqref="A32:H32">
    <cfRule type="expression" dxfId="583" priority="1010">
      <formula>$G$32="✅ PASS"</formula>
    </cfRule>
    <cfRule type="expression" dxfId="582" priority="1012">
      <formula>$G$32="⚠️ PARTIEL"</formula>
    </cfRule>
    <cfRule type="expression" dxfId="581" priority="1013">
      <formula>$G$32="🚫 N/A"</formula>
    </cfRule>
    <cfRule type="expression" dxfId="580" priority="1011">
      <formula>$G$32="❌ FAIL"</formula>
    </cfRule>
  </conditionalFormatting>
  <conditionalFormatting sqref="A33:H33">
    <cfRule type="expression" dxfId="579" priority="1046">
      <formula>$G$33="✅ PASS"</formula>
    </cfRule>
    <cfRule type="expression" dxfId="578" priority="1047">
      <formula>$G$33="❌ FAIL"</formula>
    </cfRule>
    <cfRule type="expression" dxfId="577" priority="1048">
      <formula>$G$33="⚠️ PARTIEL"</formula>
    </cfRule>
    <cfRule type="expression" dxfId="576" priority="1049">
      <formula>$G$33="🚫 N/A"</formula>
    </cfRule>
  </conditionalFormatting>
  <conditionalFormatting sqref="A34:H34">
    <cfRule type="expression" dxfId="575" priority="1085">
      <formula>$G$34="🚫 N/A"</formula>
    </cfRule>
    <cfRule type="expression" dxfId="574" priority="1084">
      <formula>$G$34="⚠️ PARTIEL"</formula>
    </cfRule>
    <cfRule type="expression" dxfId="573" priority="1083">
      <formula>$G$34="❌ FAIL"</formula>
    </cfRule>
    <cfRule type="expression" dxfId="572" priority="1082">
      <formula>$G$34="✅ PASS"</formula>
    </cfRule>
  </conditionalFormatting>
  <conditionalFormatting sqref="A35:H35">
    <cfRule type="expression" dxfId="571" priority="1120">
      <formula>$G$35="⚠️ PARTIEL"</formula>
    </cfRule>
    <cfRule type="expression" dxfId="570" priority="1121">
      <formula>$G$35="🚫 N/A"</formula>
    </cfRule>
    <cfRule type="expression" dxfId="569" priority="1119">
      <formula>$G$35="❌ FAIL"</formula>
    </cfRule>
    <cfRule type="expression" dxfId="568" priority="1118">
      <formula>$G$35="✅ PASS"</formula>
    </cfRule>
  </conditionalFormatting>
  <conditionalFormatting sqref="A36:H36">
    <cfRule type="expression" dxfId="567" priority="1155">
      <formula>$G$36="❌ FAIL"</formula>
    </cfRule>
    <cfRule type="expression" dxfId="566" priority="1156">
      <formula>$G$36="⚠️ PARTIEL"</formula>
    </cfRule>
    <cfRule type="expression" dxfId="565" priority="1157">
      <formula>$G$36="🚫 N/A"</formula>
    </cfRule>
    <cfRule type="expression" dxfId="564" priority="1154">
      <formula>$G$36="✅ PASS"</formula>
    </cfRule>
  </conditionalFormatting>
  <conditionalFormatting sqref="A37:H37">
    <cfRule type="expression" dxfId="563" priority="1193">
      <formula>$G$37="🚫 N/A"</formula>
    </cfRule>
    <cfRule type="expression" dxfId="562" priority="1192">
      <formula>$G$37="⚠️ PARTIEL"</formula>
    </cfRule>
    <cfRule type="expression" dxfId="561" priority="1191">
      <formula>$G$37="❌ FAIL"</formula>
    </cfRule>
    <cfRule type="expression" dxfId="560" priority="1190">
      <formula>$G$37="✅ PASS"</formula>
    </cfRule>
  </conditionalFormatting>
  <conditionalFormatting sqref="A38:H38">
    <cfRule type="expression" dxfId="559" priority="1229">
      <formula>$G$38="🚫 N/A"</formula>
    </cfRule>
    <cfRule type="expression" dxfId="558" priority="1226">
      <formula>$G$38="✅ PASS"</formula>
    </cfRule>
    <cfRule type="expression" dxfId="557" priority="1227">
      <formula>$G$38="❌ FAIL"</formula>
    </cfRule>
    <cfRule type="expression" dxfId="556" priority="1228">
      <formula>$G$38="⚠️ PARTIEL"</formula>
    </cfRule>
  </conditionalFormatting>
  <conditionalFormatting sqref="A39:H39">
    <cfRule type="expression" dxfId="555" priority="1265">
      <formula>$G$39="🚫 N/A"</formula>
    </cfRule>
    <cfRule type="expression" dxfId="554" priority="1264">
      <formula>$G$39="⚠️ PARTIEL"</formula>
    </cfRule>
    <cfRule type="expression" dxfId="553" priority="1263">
      <formula>$G$39="❌ FAIL"</formula>
    </cfRule>
    <cfRule type="expression" dxfId="552" priority="1262">
      <formula>$G$39="✅ PASS"</formula>
    </cfRule>
  </conditionalFormatting>
  <conditionalFormatting sqref="A40:H40">
    <cfRule type="expression" dxfId="551" priority="1298">
      <formula>$G$40="✅ PASS"</formula>
    </cfRule>
    <cfRule type="expression" dxfId="550" priority="1301">
      <formula>$G$40="🚫 N/A"</formula>
    </cfRule>
    <cfRule type="expression" dxfId="549" priority="1300">
      <formula>$G$40="⚠️ PARTIEL"</formula>
    </cfRule>
    <cfRule type="expression" dxfId="548" priority="1299">
      <formula>$G$40="❌ FAIL"</formula>
    </cfRule>
  </conditionalFormatting>
  <conditionalFormatting sqref="A41:H41">
    <cfRule type="expression" dxfId="547" priority="1337">
      <formula>$G$41="🚫 N/A"</formula>
    </cfRule>
    <cfRule type="expression" dxfId="546" priority="1335">
      <formula>$G$41="❌ FAIL"</formula>
    </cfRule>
    <cfRule type="expression" dxfId="545" priority="1334">
      <formula>$G$41="✅ PASS"</formula>
    </cfRule>
    <cfRule type="expression" dxfId="544" priority="1336">
      <formula>$G$41="⚠️ PARTIEL"</formula>
    </cfRule>
  </conditionalFormatting>
  <conditionalFormatting sqref="A42:H42">
    <cfRule type="expression" dxfId="543" priority="1372">
      <formula>$G$42="⚠️ PARTIEL"</formula>
    </cfRule>
    <cfRule type="expression" dxfId="542" priority="1373">
      <formula>$G$42="🚫 N/A"</formula>
    </cfRule>
    <cfRule type="expression" dxfId="541" priority="1371">
      <formula>$G$42="❌ FAIL"</formula>
    </cfRule>
    <cfRule type="expression" dxfId="540" priority="1370">
      <formula>$G$42="✅ PASS"</formula>
    </cfRule>
  </conditionalFormatting>
  <conditionalFormatting sqref="A43:H43">
    <cfRule type="expression" dxfId="539" priority="1406">
      <formula>$G$43="✅ PASS"</formula>
    </cfRule>
    <cfRule type="expression" dxfId="538" priority="1407">
      <formula>$G$43="❌ FAIL"</formula>
    </cfRule>
    <cfRule type="expression" dxfId="537" priority="1408">
      <formula>$G$43="⚠️ PARTIEL"</formula>
    </cfRule>
    <cfRule type="expression" dxfId="536" priority="1409">
      <formula>$G$43="🚫 N/A"</formula>
    </cfRule>
  </conditionalFormatting>
  <conditionalFormatting sqref="A44:H44">
    <cfRule type="expression" dxfId="535" priority="1442">
      <formula>$G$44="✅ PASS"</formula>
    </cfRule>
    <cfRule type="expression" dxfId="534" priority="1445">
      <formula>$G$44="🚫 N/A"</formula>
    </cfRule>
    <cfRule type="expression" dxfId="533" priority="1444">
      <formula>$G$44="⚠️ PARTIEL"</formula>
    </cfRule>
    <cfRule type="expression" dxfId="532" priority="1443">
      <formula>$G$44="❌ FAIL"</formula>
    </cfRule>
  </conditionalFormatting>
  <conditionalFormatting sqref="A45:H45">
    <cfRule type="expression" dxfId="531" priority="1478">
      <formula>$G$45="✅ PASS"</formula>
    </cfRule>
    <cfRule type="expression" dxfId="530" priority="1479">
      <formula>$G$45="❌ FAIL"</formula>
    </cfRule>
    <cfRule type="expression" dxfId="529" priority="1481">
      <formula>$G$45="🚫 N/A"</formula>
    </cfRule>
    <cfRule type="expression" dxfId="528" priority="1480">
      <formula>$G$45="⚠️ PARTIEL"</formula>
    </cfRule>
  </conditionalFormatting>
  <conditionalFormatting sqref="A46:H46">
    <cfRule type="expression" dxfId="527" priority="1516">
      <formula>$G$46="⚠️ PARTIEL"</formula>
    </cfRule>
    <cfRule type="expression" dxfId="526" priority="1515">
      <formula>$G$46="❌ FAIL"</formula>
    </cfRule>
    <cfRule type="expression" dxfId="525" priority="1514">
      <formula>$G$46="✅ PASS"</formula>
    </cfRule>
    <cfRule type="expression" dxfId="524" priority="1517">
      <formula>$G$46="🚫 N/A"</formula>
    </cfRule>
  </conditionalFormatting>
  <conditionalFormatting sqref="A47:H47">
    <cfRule type="expression" dxfId="523" priority="1553">
      <formula>$G$47="🚫 N/A"</formula>
    </cfRule>
    <cfRule type="expression" dxfId="522" priority="1550">
      <formula>$G$47="✅ PASS"</formula>
    </cfRule>
    <cfRule type="expression" dxfId="521" priority="1551">
      <formula>$G$47="❌ FAIL"</formula>
    </cfRule>
    <cfRule type="expression" dxfId="520" priority="1552">
      <formula>$G$47="⚠️ PARTIEL"</formula>
    </cfRule>
  </conditionalFormatting>
  <conditionalFormatting sqref="A48:H48">
    <cfRule type="expression" dxfId="519" priority="1587">
      <formula>$G$48="❌ FAIL"</formula>
    </cfRule>
    <cfRule type="expression" dxfId="518" priority="1588">
      <formula>$G$48="⚠️ PARTIEL"</formula>
    </cfRule>
    <cfRule type="expression" dxfId="517" priority="1589">
      <formula>$G$48="🚫 N/A"</formula>
    </cfRule>
    <cfRule type="expression" dxfId="516" priority="1586">
      <formula>$G$48="✅ PASS"</formula>
    </cfRule>
  </conditionalFormatting>
  <conditionalFormatting sqref="A49:H49">
    <cfRule type="expression" dxfId="515" priority="1625">
      <formula>$G$49="🚫 N/A"</formula>
    </cfRule>
    <cfRule type="expression" dxfId="514" priority="1622">
      <formula>$G$49="✅ PASS"</formula>
    </cfRule>
    <cfRule type="expression" dxfId="513" priority="1623">
      <formula>$G$49="❌ FAIL"</formula>
    </cfRule>
    <cfRule type="expression" dxfId="512" priority="1624">
      <formula>$G$49="⚠️ PARTIEL"</formula>
    </cfRule>
  </conditionalFormatting>
  <conditionalFormatting sqref="A50:H50">
    <cfRule type="expression" dxfId="511" priority="1660">
      <formula>$G$50="⚠️ PARTIEL"</formula>
    </cfRule>
    <cfRule type="expression" dxfId="510" priority="1658">
      <formula>$G$50="✅ PASS"</formula>
    </cfRule>
    <cfRule type="expression" dxfId="509" priority="1659">
      <formula>$G$50="❌ FAIL"</formula>
    </cfRule>
    <cfRule type="expression" dxfId="508" priority="1661">
      <formula>$G$50="🚫 N/A"</formula>
    </cfRule>
  </conditionalFormatting>
  <conditionalFormatting sqref="A51:H51">
    <cfRule type="expression" dxfId="507" priority="1695">
      <formula>$G$51="❌ FAIL"</formula>
    </cfRule>
    <cfRule type="expression" dxfId="506" priority="1696">
      <formula>$G$51="⚠️ PARTIEL"</formula>
    </cfRule>
    <cfRule type="expression" dxfId="505" priority="1697">
      <formula>$G$51="🚫 N/A"</formula>
    </cfRule>
    <cfRule type="expression" dxfId="504" priority="1694">
      <formula>$G$51="✅ PASS"</formula>
    </cfRule>
  </conditionalFormatting>
  <conditionalFormatting sqref="A52:H52">
    <cfRule type="expression" dxfId="503" priority="1733">
      <formula>$G$52="🚫 N/A"</formula>
    </cfRule>
    <cfRule type="expression" dxfId="502" priority="1732">
      <formula>$G$52="⚠️ PARTIEL"</formula>
    </cfRule>
    <cfRule type="expression" dxfId="501" priority="1731">
      <formula>$G$52="❌ FAIL"</formula>
    </cfRule>
    <cfRule type="expression" dxfId="500" priority="1730">
      <formula>$G$52="✅ PASS"</formula>
    </cfRule>
  </conditionalFormatting>
  <conditionalFormatting sqref="A53:H53">
    <cfRule type="expression" dxfId="499" priority="1769">
      <formula>$G$53="🚫 N/A"</formula>
    </cfRule>
    <cfRule type="expression" dxfId="498" priority="1768">
      <formula>$G$53="⚠️ PARTIEL"</formula>
    </cfRule>
    <cfRule type="expression" dxfId="497" priority="1767">
      <formula>$G$53="❌ FAIL"</formula>
    </cfRule>
    <cfRule type="expression" dxfId="496" priority="1766">
      <formula>$G$53="✅ PASS"</formula>
    </cfRule>
  </conditionalFormatting>
  <conditionalFormatting sqref="A54:H54">
    <cfRule type="expression" dxfId="495" priority="1802">
      <formula>$G$54="✅ PASS"</formula>
    </cfRule>
    <cfRule type="expression" dxfId="494" priority="1803">
      <formula>$G$54="❌ FAIL"</formula>
    </cfRule>
    <cfRule type="expression" dxfId="493" priority="1804">
      <formula>$G$54="⚠️ PARTIEL"</formula>
    </cfRule>
    <cfRule type="expression" dxfId="492" priority="1805">
      <formula>$G$54="🚫 N/A"</formula>
    </cfRule>
  </conditionalFormatting>
  <conditionalFormatting sqref="A55:H55">
    <cfRule type="expression" dxfId="491" priority="1841">
      <formula>$G$55="🚫 N/A"</formula>
    </cfRule>
    <cfRule type="expression" dxfId="490" priority="1840">
      <formula>$G$55="⚠️ PARTIEL"</formula>
    </cfRule>
    <cfRule type="expression" dxfId="489" priority="1839">
      <formula>$G$55="❌ FAIL"</formula>
    </cfRule>
    <cfRule type="expression" dxfId="488" priority="1838">
      <formula>$G$55="✅ PASS"</formula>
    </cfRule>
  </conditionalFormatting>
  <conditionalFormatting sqref="A56:H56">
    <cfRule type="expression" dxfId="487" priority="1874">
      <formula>$G$56="✅ PASS"</formula>
    </cfRule>
    <cfRule type="expression" dxfId="486" priority="1877">
      <formula>$G$56="🚫 N/A"</formula>
    </cfRule>
    <cfRule type="expression" dxfId="485" priority="1876">
      <formula>$G$56="⚠️ PARTIEL"</formula>
    </cfRule>
    <cfRule type="expression" dxfId="484" priority="1875">
      <formula>$G$56="❌ FAIL"</formula>
    </cfRule>
  </conditionalFormatting>
  <conditionalFormatting sqref="A57:H57">
    <cfRule type="expression" dxfId="483" priority="1913">
      <formula>$G$57="🚫 N/A"</formula>
    </cfRule>
    <cfRule type="expression" dxfId="482" priority="1910">
      <formula>$G$57="✅ PASS"</formula>
    </cfRule>
    <cfRule type="expression" dxfId="481" priority="1911">
      <formula>$G$57="❌ FAIL"</formula>
    </cfRule>
    <cfRule type="expression" dxfId="480" priority="1912">
      <formula>$G$57="⚠️ PARTIEL"</formula>
    </cfRule>
  </conditionalFormatting>
  <conditionalFormatting sqref="A58:H58">
    <cfRule type="expression" dxfId="479" priority="1949">
      <formula>$G$58="🚫 N/A"</formula>
    </cfRule>
    <cfRule type="expression" dxfId="478" priority="1946">
      <formula>$G$58="✅ PASS"</formula>
    </cfRule>
    <cfRule type="expression" dxfId="477" priority="1947">
      <formula>$G$58="❌ FAIL"</formula>
    </cfRule>
    <cfRule type="expression" dxfId="476" priority="1948">
      <formula>$G$58="⚠️ PARTIEL"</formula>
    </cfRule>
  </conditionalFormatting>
  <conditionalFormatting sqref="A59:H59">
    <cfRule type="expression" dxfId="475" priority="1984">
      <formula>$G$59="⚠️ PARTIEL"</formula>
    </cfRule>
    <cfRule type="expression" dxfId="474" priority="1983">
      <formula>$G$59="❌ FAIL"</formula>
    </cfRule>
    <cfRule type="expression" dxfId="473" priority="1985">
      <formula>$G$59="🚫 N/A"</formula>
    </cfRule>
    <cfRule type="expression" dxfId="472" priority="1982">
      <formula>$G$59="✅ PASS"</formula>
    </cfRule>
  </conditionalFormatting>
  <conditionalFormatting sqref="A60:H60">
    <cfRule type="expression" dxfId="471" priority="2020">
      <formula>$G$60="⚠️ PARTIEL"</formula>
    </cfRule>
    <cfRule type="expression" dxfId="470" priority="2019">
      <formula>$G$60="❌ FAIL"</formula>
    </cfRule>
    <cfRule type="expression" dxfId="469" priority="2018">
      <formula>$G$60="✅ PASS"</formula>
    </cfRule>
    <cfRule type="expression" dxfId="468" priority="2021">
      <formula>$G$60="🚫 N/A"</formula>
    </cfRule>
  </conditionalFormatting>
  <conditionalFormatting sqref="A61:H61">
    <cfRule type="expression" dxfId="467" priority="2055">
      <formula>$G$61="❌ FAIL"</formula>
    </cfRule>
    <cfRule type="expression" dxfId="466" priority="2054">
      <formula>$G$61="✅ PASS"</formula>
    </cfRule>
    <cfRule type="expression" dxfId="465" priority="2057">
      <formula>$G$61="🚫 N/A"</formula>
    </cfRule>
    <cfRule type="expression" dxfId="464" priority="2056">
      <formula>$G$61="⚠️ PARTIEL"</formula>
    </cfRule>
  </conditionalFormatting>
  <conditionalFormatting sqref="A62:H62">
    <cfRule type="expression" dxfId="463" priority="2090">
      <formula>$G$62="✅ PASS"</formula>
    </cfRule>
    <cfRule type="expression" dxfId="462" priority="2093">
      <formula>$G$62="🚫 N/A"</formula>
    </cfRule>
    <cfRule type="expression" dxfId="461" priority="2091">
      <formula>$G$62="❌ FAIL"</formula>
    </cfRule>
    <cfRule type="expression" dxfId="460" priority="2092">
      <formula>$G$62="⚠️ PARTIEL"</formula>
    </cfRule>
  </conditionalFormatting>
  <conditionalFormatting sqref="A63:H63">
    <cfRule type="expression" dxfId="459" priority="2126">
      <formula>$G$63="✅ PASS"</formula>
    </cfRule>
    <cfRule type="expression" dxfId="458" priority="2127">
      <formula>$G$63="❌ FAIL"</formula>
    </cfRule>
    <cfRule type="expression" dxfId="457" priority="2128">
      <formula>$G$63="⚠️ PARTIEL"</formula>
    </cfRule>
    <cfRule type="expression" dxfId="456" priority="2129">
      <formula>$G$63="🚫 N/A"</formula>
    </cfRule>
  </conditionalFormatting>
  <conditionalFormatting sqref="A64:H64">
    <cfRule type="expression" dxfId="455" priority="2165">
      <formula>$G$64="🚫 N/A"</formula>
    </cfRule>
    <cfRule type="expression" dxfId="454" priority="2164">
      <formula>$G$64="⚠️ PARTIEL"</formula>
    </cfRule>
    <cfRule type="expression" dxfId="453" priority="2163">
      <formula>$G$64="❌ FAIL"</formula>
    </cfRule>
    <cfRule type="expression" dxfId="452" priority="2162">
      <formula>$G$64="✅ PASS"</formula>
    </cfRule>
  </conditionalFormatting>
  <conditionalFormatting sqref="A65:H65">
    <cfRule type="expression" dxfId="451" priority="2200">
      <formula>$G$65="⚠️ PARTIEL"</formula>
    </cfRule>
    <cfRule type="expression" dxfId="450" priority="2201">
      <formula>$G$65="🚫 N/A"</formula>
    </cfRule>
    <cfRule type="expression" dxfId="449" priority="2199">
      <formula>$G$65="❌ FAIL"</formula>
    </cfRule>
    <cfRule type="expression" dxfId="448" priority="2198">
      <formula>$G$65="✅ PASS"</formula>
    </cfRule>
  </conditionalFormatting>
  <conditionalFormatting sqref="A66:H66">
    <cfRule type="expression" dxfId="447" priority="2236">
      <formula>$G$66="⚠️ PARTIEL"</formula>
    </cfRule>
    <cfRule type="expression" dxfId="446" priority="2235">
      <formula>$G$66="❌ FAIL"</formula>
    </cfRule>
    <cfRule type="expression" dxfId="445" priority="2234">
      <formula>$G$66="✅ PASS"</formula>
    </cfRule>
    <cfRule type="expression" dxfId="444" priority="2237">
      <formula>$G$66="🚫 N/A"</formula>
    </cfRule>
  </conditionalFormatting>
  <conditionalFormatting sqref="A67:H67">
    <cfRule type="expression" dxfId="443" priority="2272">
      <formula>$G$67="⚠️ PARTIEL"</formula>
    </cfRule>
    <cfRule type="expression" dxfId="442" priority="2271">
      <formula>$G$67="❌ FAIL"</formula>
    </cfRule>
    <cfRule type="expression" dxfId="441" priority="2270">
      <formula>$G$67="✅ PASS"</formula>
    </cfRule>
    <cfRule type="expression" dxfId="440" priority="2273">
      <formula>$G$67="🚫 N/A"</formula>
    </cfRule>
  </conditionalFormatting>
  <conditionalFormatting sqref="A68:H68">
    <cfRule type="expression" dxfId="439" priority="2306">
      <formula>$G$68="✅ PASS"</formula>
    </cfRule>
    <cfRule type="expression" dxfId="438" priority="2309">
      <formula>$G$68="🚫 N/A"</formula>
    </cfRule>
    <cfRule type="expression" dxfId="437" priority="2308">
      <formula>$G$68="⚠️ PARTIEL"</formula>
    </cfRule>
    <cfRule type="expression" dxfId="436" priority="2307">
      <formula>$G$68="❌ FAIL"</formula>
    </cfRule>
  </conditionalFormatting>
  <conditionalFormatting sqref="A69:H69">
    <cfRule type="expression" dxfId="435" priority="2345">
      <formula>$G$69="🚫 N/A"</formula>
    </cfRule>
    <cfRule type="expression" dxfId="434" priority="2342">
      <formula>$G$69="✅ PASS"</formula>
    </cfRule>
    <cfRule type="expression" dxfId="433" priority="2344">
      <formula>$G$69="⚠️ PARTIEL"</formula>
    </cfRule>
    <cfRule type="expression" dxfId="432" priority="2343">
      <formula>$G$69="❌ FAIL"</formula>
    </cfRule>
  </conditionalFormatting>
  <conditionalFormatting sqref="A70:H70">
    <cfRule type="expression" dxfId="431" priority="2381">
      <formula>$G$70="🚫 N/A"</formula>
    </cfRule>
    <cfRule type="expression" dxfId="430" priority="2380">
      <formula>$G$70="⚠️ PARTIEL"</formula>
    </cfRule>
    <cfRule type="expression" dxfId="429" priority="2379">
      <formula>$G$70="❌ FAIL"</formula>
    </cfRule>
    <cfRule type="expression" dxfId="428" priority="2378">
      <formula>$G$70="✅ PASS"</formula>
    </cfRule>
  </conditionalFormatting>
  <conditionalFormatting sqref="A71:H71">
    <cfRule type="expression" dxfId="427" priority="2417">
      <formula>$G$71="🚫 N/A"</formula>
    </cfRule>
    <cfRule type="expression" dxfId="426" priority="2416">
      <formula>$G$71="⚠️ PARTIEL"</formula>
    </cfRule>
    <cfRule type="expression" dxfId="425" priority="2415">
      <formula>$G$71="❌ FAIL"</formula>
    </cfRule>
    <cfRule type="expression" dxfId="424" priority="2414">
      <formula>$G$71="✅ PASS"</formula>
    </cfRule>
  </conditionalFormatting>
  <conditionalFormatting sqref="A72:H72">
    <cfRule type="expression" dxfId="423" priority="2450">
      <formula>$G$72="✅ PASS"</formula>
    </cfRule>
    <cfRule type="expression" dxfId="422" priority="2451">
      <formula>$G$72="❌ FAIL"</formula>
    </cfRule>
    <cfRule type="expression" dxfId="421" priority="2452">
      <formula>$G$72="⚠️ PARTIEL"</formula>
    </cfRule>
    <cfRule type="expression" dxfId="420" priority="2453">
      <formula>$G$72="🚫 N/A"</formula>
    </cfRule>
  </conditionalFormatting>
  <conditionalFormatting sqref="A73:H73">
    <cfRule type="expression" dxfId="419" priority="2487">
      <formula>$G$73="❌ FAIL"</formula>
    </cfRule>
    <cfRule type="expression" dxfId="418" priority="2486">
      <formula>$G$73="✅ PASS"</formula>
    </cfRule>
    <cfRule type="expression" dxfId="417" priority="2488">
      <formula>$G$73="⚠️ PARTIEL"</formula>
    </cfRule>
    <cfRule type="expression" dxfId="416" priority="2489">
      <formula>$G$73="🚫 N/A"</formula>
    </cfRule>
  </conditionalFormatting>
  <conditionalFormatting sqref="A74:H74">
    <cfRule type="expression" dxfId="415" priority="2522">
      <formula>$G$74="✅ PASS"</formula>
    </cfRule>
    <cfRule type="expression" dxfId="414" priority="2525">
      <formula>$G$74="🚫 N/A"</formula>
    </cfRule>
    <cfRule type="expression" dxfId="413" priority="2524">
      <formula>$G$74="⚠️ PARTIEL"</formula>
    </cfRule>
    <cfRule type="expression" dxfId="412" priority="2523">
      <formula>$G$74="❌ FAIL"</formula>
    </cfRule>
  </conditionalFormatting>
  <conditionalFormatting sqref="A75:H75">
    <cfRule type="expression" dxfId="411" priority="2558">
      <formula>$G$75="✅ PASS"</formula>
    </cfRule>
    <cfRule type="expression" dxfId="410" priority="2560">
      <formula>$G$75="⚠️ PARTIEL"</formula>
    </cfRule>
    <cfRule type="expression" dxfId="409" priority="2561">
      <formula>$G$75="🚫 N/A"</formula>
    </cfRule>
    <cfRule type="expression" dxfId="408" priority="2559">
      <formula>$G$75="❌ FAIL"</formula>
    </cfRule>
  </conditionalFormatting>
  <conditionalFormatting sqref="A76:H76">
    <cfRule type="expression" dxfId="407" priority="2596">
      <formula>$G$76="⚠️ PARTIEL"</formula>
    </cfRule>
    <cfRule type="expression" dxfId="406" priority="2594">
      <formula>$G$76="✅ PASS"</formula>
    </cfRule>
    <cfRule type="expression" dxfId="405" priority="2595">
      <formula>$G$76="❌ FAIL"</formula>
    </cfRule>
    <cfRule type="expression" dxfId="404" priority="2597">
      <formula>$G$76="🚫 N/A"</formula>
    </cfRule>
  </conditionalFormatting>
  <conditionalFormatting sqref="A77:H77">
    <cfRule type="expression" dxfId="403" priority="2631">
      <formula>$G$77="❌ FAIL"</formula>
    </cfRule>
    <cfRule type="expression" dxfId="402" priority="2633">
      <formula>$G$77="🚫 N/A"</formula>
    </cfRule>
    <cfRule type="expression" dxfId="401" priority="2632">
      <formula>$G$77="⚠️ PARTIEL"</formula>
    </cfRule>
    <cfRule type="expression" dxfId="400" priority="2630">
      <formula>$G$77="✅ PASS"</formula>
    </cfRule>
  </conditionalFormatting>
  <conditionalFormatting sqref="A78:H78">
    <cfRule type="expression" dxfId="399" priority="2666">
      <formula>$G$78="✅ PASS"</formula>
    </cfRule>
    <cfRule type="expression" dxfId="398" priority="2668">
      <formula>$G$78="⚠️ PARTIEL"</formula>
    </cfRule>
    <cfRule type="expression" dxfId="397" priority="2667">
      <formula>$G$78="❌ FAIL"</formula>
    </cfRule>
    <cfRule type="expression" dxfId="396" priority="2669">
      <formula>$G$78="🚫 N/A"</formula>
    </cfRule>
  </conditionalFormatting>
  <conditionalFormatting sqref="A79:H79">
    <cfRule type="expression" dxfId="395" priority="2704">
      <formula>$G$79="⚠️ PARTIEL"</formula>
    </cfRule>
    <cfRule type="expression" dxfId="394" priority="2703">
      <formula>$G$79="❌ FAIL"</formula>
    </cfRule>
    <cfRule type="expression" dxfId="393" priority="2705">
      <formula>$G$79="🚫 N/A"</formula>
    </cfRule>
    <cfRule type="expression" dxfId="392" priority="2702">
      <formula>$G$79="✅ PASS"</formula>
    </cfRule>
  </conditionalFormatting>
  <conditionalFormatting sqref="A80:H80">
    <cfRule type="expression" dxfId="391" priority="2738">
      <formula>$G$80="✅ PASS"</formula>
    </cfRule>
    <cfRule type="expression" dxfId="390" priority="2739">
      <formula>$G$80="❌ FAIL"</formula>
    </cfRule>
    <cfRule type="expression" dxfId="389" priority="2740">
      <formula>$G$80="⚠️ PARTIEL"</formula>
    </cfRule>
    <cfRule type="expression" dxfId="388" priority="2741">
      <formula>$G$80="🚫 N/A"</formula>
    </cfRule>
  </conditionalFormatting>
  <conditionalFormatting sqref="A81:H81">
    <cfRule type="expression" dxfId="387" priority="2775">
      <formula>$G$81="❌ FAIL"</formula>
    </cfRule>
    <cfRule type="expression" dxfId="386" priority="2774">
      <formula>$G$81="✅ PASS"</formula>
    </cfRule>
    <cfRule type="expression" dxfId="385" priority="2777">
      <formula>$G$81="🚫 N/A"</formula>
    </cfRule>
    <cfRule type="expression" dxfId="384" priority="2776">
      <formula>$G$81="⚠️ PARTIEL"</formula>
    </cfRule>
  </conditionalFormatting>
  <conditionalFormatting sqref="A82:H82">
    <cfRule type="expression" dxfId="383" priority="2811">
      <formula>$G$82="❌ FAIL"</formula>
    </cfRule>
    <cfRule type="expression" dxfId="382" priority="2812">
      <formula>$G$82="⚠️ PARTIEL"</formula>
    </cfRule>
    <cfRule type="expression" dxfId="381" priority="2813">
      <formula>$G$82="🚫 N/A"</formula>
    </cfRule>
    <cfRule type="expression" dxfId="380" priority="2810">
      <formula>$G$82="✅ PASS"</formula>
    </cfRule>
  </conditionalFormatting>
  <conditionalFormatting sqref="A83:H83">
    <cfRule type="expression" dxfId="379" priority="2849">
      <formula>$G$83="🚫 N/A"</formula>
    </cfRule>
    <cfRule type="expression" dxfId="378" priority="2848">
      <formula>$G$83="⚠️ PARTIEL"</formula>
    </cfRule>
    <cfRule type="expression" dxfId="377" priority="2847">
      <formula>$G$83="❌ FAIL"</formula>
    </cfRule>
    <cfRule type="expression" dxfId="376" priority="2846">
      <formula>$G$83="✅ PASS"</formula>
    </cfRule>
  </conditionalFormatting>
  <conditionalFormatting sqref="A84:H84">
    <cfRule type="expression" dxfId="375" priority="2885">
      <formula>$G$84="🚫 N/A"</formula>
    </cfRule>
    <cfRule type="expression" dxfId="374" priority="2884">
      <formula>$G$84="⚠️ PARTIEL"</formula>
    </cfRule>
    <cfRule type="expression" dxfId="373" priority="2882">
      <formula>$G$84="✅ PASS"</formula>
    </cfRule>
    <cfRule type="expression" dxfId="372" priority="2883">
      <formula>$G$84="❌ FAIL"</formula>
    </cfRule>
  </conditionalFormatting>
  <conditionalFormatting sqref="A85:H85">
    <cfRule type="expression" dxfId="371" priority="2919">
      <formula>$G$85="❌ FAIL"</formula>
    </cfRule>
    <cfRule type="expression" dxfId="370" priority="2918">
      <formula>$G$85="✅ PASS"</formula>
    </cfRule>
    <cfRule type="expression" dxfId="369" priority="2920">
      <formula>$G$85="⚠️ PARTIEL"</formula>
    </cfRule>
    <cfRule type="expression" dxfId="368" priority="2921">
      <formula>$G$85="🚫 N/A"</formula>
    </cfRule>
  </conditionalFormatting>
  <conditionalFormatting sqref="A86:H86">
    <cfRule type="expression" dxfId="367" priority="2955">
      <formula>$G$86="❌ FAIL"</formula>
    </cfRule>
    <cfRule type="expression" dxfId="366" priority="2956">
      <formula>$G$86="⚠️ PARTIEL"</formula>
    </cfRule>
    <cfRule type="expression" dxfId="365" priority="2957">
      <formula>$G$86="🚫 N/A"</formula>
    </cfRule>
    <cfRule type="expression" dxfId="364" priority="2954">
      <formula>$G$86="✅ PASS"</formula>
    </cfRule>
  </conditionalFormatting>
  <conditionalFormatting sqref="A87:H87">
    <cfRule type="expression" dxfId="363" priority="2990">
      <formula>$G$87="✅ PASS"</formula>
    </cfRule>
    <cfRule type="expression" dxfId="362" priority="2991">
      <formula>$G$87="❌ FAIL"</formula>
    </cfRule>
    <cfRule type="expression" dxfId="361" priority="2992">
      <formula>$G$87="⚠️ PARTIEL"</formula>
    </cfRule>
    <cfRule type="expression" dxfId="360" priority="2993">
      <formula>$G$87="🚫 N/A"</formula>
    </cfRule>
  </conditionalFormatting>
  <conditionalFormatting sqref="A88:H88">
    <cfRule type="expression" dxfId="359" priority="3028">
      <formula>$G$88="⚠️ PARTIEL"</formula>
    </cfRule>
    <cfRule type="expression" dxfId="358" priority="3027">
      <formula>$G$88="❌ FAIL"</formula>
    </cfRule>
    <cfRule type="expression" dxfId="357" priority="3026">
      <formula>$G$88="✅ PASS"</formula>
    </cfRule>
    <cfRule type="expression" dxfId="356" priority="3029">
      <formula>$G$88="🚫 N/A"</formula>
    </cfRule>
  </conditionalFormatting>
  <conditionalFormatting sqref="A89:H89">
    <cfRule type="expression" dxfId="355" priority="3064">
      <formula>$G$89="⚠️ PARTIEL"</formula>
    </cfRule>
    <cfRule type="expression" dxfId="354" priority="3063">
      <formula>$G$89="❌ FAIL"</formula>
    </cfRule>
    <cfRule type="expression" dxfId="353" priority="3062">
      <formula>$G$89="✅ PASS"</formula>
    </cfRule>
    <cfRule type="expression" dxfId="352" priority="3065">
      <formula>$G$89="🚫 N/A"</formula>
    </cfRule>
  </conditionalFormatting>
  <conditionalFormatting sqref="A90:H90">
    <cfRule type="expression" dxfId="351" priority="3099">
      <formula>$G$90="❌ FAIL"</formula>
    </cfRule>
    <cfRule type="expression" dxfId="350" priority="3101">
      <formula>$G$90="🚫 N/A"</formula>
    </cfRule>
    <cfRule type="expression" dxfId="349" priority="3100">
      <formula>$G$90="⚠️ PARTIEL"</formula>
    </cfRule>
    <cfRule type="expression" dxfId="348" priority="3098">
      <formula>$G$90="✅ PASS"</formula>
    </cfRule>
  </conditionalFormatting>
  <conditionalFormatting sqref="K4">
    <cfRule type="expression" dxfId="347" priority="35">
      <formula>$G$4="❌ FAIL"</formula>
    </cfRule>
    <cfRule type="expression" dxfId="346" priority="36">
      <formula>$G$4="⚠️ PARTIEL"</formula>
    </cfRule>
    <cfRule type="expression" dxfId="345" priority="37">
      <formula>$G$4="🚫 N/A"</formula>
    </cfRule>
    <cfRule type="expression" dxfId="344" priority="34">
      <formula>$G$4="✅ PASS"</formula>
    </cfRule>
  </conditionalFormatting>
  <conditionalFormatting sqref="K5">
    <cfRule type="expression" dxfId="343" priority="70">
      <formula>$G$5="✅ PASS"</formula>
    </cfRule>
    <cfRule type="expression" dxfId="342" priority="71">
      <formula>$G$5="❌ FAIL"</formula>
    </cfRule>
    <cfRule type="expression" dxfId="341" priority="72">
      <formula>$G$5="⚠️ PARTIEL"</formula>
    </cfRule>
    <cfRule type="expression" dxfId="340" priority="73">
      <formula>$G$5="🚫 N/A"</formula>
    </cfRule>
  </conditionalFormatting>
  <conditionalFormatting sqref="K6">
    <cfRule type="expression" dxfId="339" priority="109">
      <formula>$G$6="🚫 N/A"</formula>
    </cfRule>
    <cfRule type="expression" dxfId="338" priority="108">
      <formula>$G$6="⚠️ PARTIEL"</formula>
    </cfRule>
    <cfRule type="expression" dxfId="337" priority="107">
      <formula>$G$6="❌ FAIL"</formula>
    </cfRule>
    <cfRule type="expression" dxfId="336" priority="106">
      <formula>$G$6="✅ PASS"</formula>
    </cfRule>
  </conditionalFormatting>
  <conditionalFormatting sqref="K7">
    <cfRule type="expression" dxfId="335" priority="143">
      <formula>$G$7="❌ FAIL"</formula>
    </cfRule>
    <cfRule type="expression" dxfId="334" priority="142">
      <formula>$G$7="✅ PASS"</formula>
    </cfRule>
    <cfRule type="expression" dxfId="333" priority="144">
      <formula>$G$7="⚠️ PARTIEL"</formula>
    </cfRule>
    <cfRule type="expression" dxfId="332" priority="145">
      <formula>$G$7="🚫 N/A"</formula>
    </cfRule>
  </conditionalFormatting>
  <conditionalFormatting sqref="K8">
    <cfRule type="expression" dxfId="331" priority="180">
      <formula>$G$8="⚠️ PARTIEL"</formula>
    </cfRule>
    <cfRule type="expression" dxfId="330" priority="179">
      <formula>$G$8="❌ FAIL"</formula>
    </cfRule>
    <cfRule type="expression" dxfId="329" priority="181">
      <formula>$G$8="🚫 N/A"</formula>
    </cfRule>
    <cfRule type="expression" dxfId="328" priority="178">
      <formula>$G$8="✅ PASS"</formula>
    </cfRule>
  </conditionalFormatting>
  <conditionalFormatting sqref="K9">
    <cfRule type="expression" dxfId="327" priority="214">
      <formula>$G$9="✅ PASS"</formula>
    </cfRule>
    <cfRule type="expression" dxfId="326" priority="215">
      <formula>$G$9="❌ FAIL"</formula>
    </cfRule>
    <cfRule type="expression" dxfId="325" priority="216">
      <formula>$G$9="⚠️ PARTIEL"</formula>
    </cfRule>
    <cfRule type="expression" dxfId="324" priority="217">
      <formula>$G$9="🚫 N/A"</formula>
    </cfRule>
  </conditionalFormatting>
  <conditionalFormatting sqref="K10">
    <cfRule type="expression" dxfId="323" priority="252">
      <formula>$G$10="⚠️ PARTIEL"</formula>
    </cfRule>
    <cfRule type="expression" dxfId="322" priority="251">
      <formula>$G$10="❌ FAIL"</formula>
    </cfRule>
    <cfRule type="expression" dxfId="321" priority="250">
      <formula>$G$10="✅ PASS"</formula>
    </cfRule>
    <cfRule type="expression" dxfId="320" priority="253">
      <formula>$G$10="🚫 N/A"</formula>
    </cfRule>
  </conditionalFormatting>
  <conditionalFormatting sqref="K11">
    <cfRule type="expression" dxfId="319" priority="286">
      <formula>$G$11="✅ PASS"</formula>
    </cfRule>
    <cfRule type="expression" dxfId="318" priority="287">
      <formula>$G$11="❌ FAIL"</formula>
    </cfRule>
    <cfRule type="expression" dxfId="317" priority="288">
      <formula>$G$11="⚠️ PARTIEL"</formula>
    </cfRule>
    <cfRule type="expression" dxfId="316" priority="289">
      <formula>$G$11="🚫 N/A"</formula>
    </cfRule>
  </conditionalFormatting>
  <conditionalFormatting sqref="K12">
    <cfRule type="expression" dxfId="315" priority="322">
      <formula>$G$12="✅ PASS"</formula>
    </cfRule>
    <cfRule type="expression" dxfId="314" priority="323">
      <formula>$G$12="❌ FAIL"</formula>
    </cfRule>
    <cfRule type="expression" dxfId="313" priority="324">
      <formula>$G$12="⚠️ PARTIEL"</formula>
    </cfRule>
    <cfRule type="expression" dxfId="312" priority="325">
      <formula>$G$12="🚫 N/A"</formula>
    </cfRule>
  </conditionalFormatting>
  <conditionalFormatting sqref="K13">
    <cfRule type="expression" dxfId="311" priority="358">
      <formula>$G$13="✅ PASS"</formula>
    </cfRule>
    <cfRule type="expression" dxfId="310" priority="361">
      <formula>$G$13="🚫 N/A"</formula>
    </cfRule>
    <cfRule type="expression" dxfId="309" priority="360">
      <formula>$G$13="⚠️ PARTIEL"</formula>
    </cfRule>
    <cfRule type="expression" dxfId="308" priority="359">
      <formula>$G$13="❌ FAIL"</formula>
    </cfRule>
  </conditionalFormatting>
  <conditionalFormatting sqref="K14">
    <cfRule type="expression" dxfId="307" priority="397">
      <formula>$G$14="🚫 N/A"</formula>
    </cfRule>
    <cfRule type="expression" dxfId="306" priority="394">
      <formula>$G$14="✅ PASS"</formula>
    </cfRule>
    <cfRule type="expression" dxfId="305" priority="395">
      <formula>$G$14="❌ FAIL"</formula>
    </cfRule>
    <cfRule type="expression" dxfId="304" priority="396">
      <formula>$G$14="⚠️ PARTIEL"</formula>
    </cfRule>
  </conditionalFormatting>
  <conditionalFormatting sqref="K15">
    <cfRule type="expression" dxfId="303" priority="433">
      <formula>$G$15="🚫 N/A"</formula>
    </cfRule>
    <cfRule type="expression" dxfId="302" priority="432">
      <formula>$G$15="⚠️ PARTIEL"</formula>
    </cfRule>
    <cfRule type="expression" dxfId="301" priority="431">
      <formula>$G$15="❌ FAIL"</formula>
    </cfRule>
    <cfRule type="expression" dxfId="300" priority="430">
      <formula>$G$15="✅ PASS"</formula>
    </cfRule>
  </conditionalFormatting>
  <conditionalFormatting sqref="K16">
    <cfRule type="expression" dxfId="299" priority="468">
      <formula>$G$16="⚠️ PARTIEL"</formula>
    </cfRule>
    <cfRule type="expression" dxfId="298" priority="469">
      <formula>$G$16="🚫 N/A"</formula>
    </cfRule>
    <cfRule type="expression" dxfId="297" priority="467">
      <formula>$G$16="❌ FAIL"</formula>
    </cfRule>
    <cfRule type="expression" dxfId="296" priority="466">
      <formula>$G$16="✅ PASS"</formula>
    </cfRule>
  </conditionalFormatting>
  <conditionalFormatting sqref="K17">
    <cfRule type="expression" dxfId="295" priority="505">
      <formula>$G$17="🚫 N/A"</formula>
    </cfRule>
    <cfRule type="expression" dxfId="294" priority="503">
      <formula>$G$17="❌ FAIL"</formula>
    </cfRule>
    <cfRule type="expression" dxfId="293" priority="504">
      <formula>$G$17="⚠️ PARTIEL"</formula>
    </cfRule>
    <cfRule type="expression" dxfId="292" priority="502">
      <formula>$G$17="✅ PASS"</formula>
    </cfRule>
  </conditionalFormatting>
  <conditionalFormatting sqref="K18">
    <cfRule type="expression" dxfId="291" priority="539">
      <formula>$G$18="❌ FAIL"</formula>
    </cfRule>
    <cfRule type="expression" dxfId="290" priority="541">
      <formula>$G$18="🚫 N/A"</formula>
    </cfRule>
    <cfRule type="expression" dxfId="289" priority="540">
      <formula>$G$18="⚠️ PARTIEL"</formula>
    </cfRule>
    <cfRule type="expression" dxfId="288" priority="538">
      <formula>$G$18="✅ PASS"</formula>
    </cfRule>
  </conditionalFormatting>
  <conditionalFormatting sqref="K19">
    <cfRule type="expression" dxfId="287" priority="577">
      <formula>$G$19="🚫 N/A"</formula>
    </cfRule>
    <cfRule type="expression" dxfId="286" priority="576">
      <formula>$G$19="⚠️ PARTIEL"</formula>
    </cfRule>
    <cfRule type="expression" dxfId="285" priority="575">
      <formula>$G$19="❌ FAIL"</formula>
    </cfRule>
    <cfRule type="expression" dxfId="284" priority="574">
      <formula>$G$19="✅ PASS"</formula>
    </cfRule>
  </conditionalFormatting>
  <conditionalFormatting sqref="K20">
    <cfRule type="expression" dxfId="283" priority="613">
      <formula>$G$20="🚫 N/A"</formula>
    </cfRule>
    <cfRule type="expression" dxfId="282" priority="612">
      <formula>$G$20="⚠️ PARTIEL"</formula>
    </cfRule>
    <cfRule type="expression" dxfId="281" priority="611">
      <formula>$G$20="❌ FAIL"</formula>
    </cfRule>
    <cfRule type="expression" dxfId="280" priority="610">
      <formula>$G$20="✅ PASS"</formula>
    </cfRule>
  </conditionalFormatting>
  <conditionalFormatting sqref="K21">
    <cfRule type="expression" dxfId="279" priority="646">
      <formula>$G$21="✅ PASS"</formula>
    </cfRule>
    <cfRule type="expression" dxfId="278" priority="647">
      <formula>$G$21="❌ FAIL"</formula>
    </cfRule>
    <cfRule type="expression" dxfId="277" priority="648">
      <formula>$G$21="⚠️ PARTIEL"</formula>
    </cfRule>
    <cfRule type="expression" dxfId="276" priority="649">
      <formula>$G$21="🚫 N/A"</formula>
    </cfRule>
  </conditionalFormatting>
  <conditionalFormatting sqref="K22">
    <cfRule type="expression" dxfId="275" priority="683">
      <formula>$G$22="❌ FAIL"</formula>
    </cfRule>
    <cfRule type="expression" dxfId="274" priority="682">
      <formula>$G$22="✅ PASS"</formula>
    </cfRule>
    <cfRule type="expression" dxfId="273" priority="684">
      <formula>$G$22="⚠️ PARTIEL"</formula>
    </cfRule>
    <cfRule type="expression" dxfId="272" priority="685">
      <formula>$G$22="🚫 N/A"</formula>
    </cfRule>
  </conditionalFormatting>
  <conditionalFormatting sqref="K23">
    <cfRule type="expression" dxfId="271" priority="721">
      <formula>$G$23="🚫 N/A"</formula>
    </cfRule>
    <cfRule type="expression" dxfId="270" priority="720">
      <formula>$G$23="⚠️ PARTIEL"</formula>
    </cfRule>
    <cfRule type="expression" dxfId="269" priority="719">
      <formula>$G$23="❌ FAIL"</formula>
    </cfRule>
    <cfRule type="expression" dxfId="268" priority="718">
      <formula>$G$23="✅ PASS"</formula>
    </cfRule>
  </conditionalFormatting>
  <conditionalFormatting sqref="K24">
    <cfRule type="expression" dxfId="267" priority="755">
      <formula>$G$24="❌ FAIL"</formula>
    </cfRule>
    <cfRule type="expression" dxfId="266" priority="756">
      <formula>$G$24="⚠️ PARTIEL"</formula>
    </cfRule>
    <cfRule type="expression" dxfId="265" priority="757">
      <formula>$G$24="🚫 N/A"</formula>
    </cfRule>
    <cfRule type="expression" dxfId="264" priority="754">
      <formula>$G$24="✅ PASS"</formula>
    </cfRule>
  </conditionalFormatting>
  <conditionalFormatting sqref="K25">
    <cfRule type="expression" dxfId="263" priority="793">
      <formula>$G$25="🚫 N/A"</formula>
    </cfRule>
    <cfRule type="expression" dxfId="262" priority="792">
      <formula>$G$25="⚠️ PARTIEL"</formula>
    </cfRule>
    <cfRule type="expression" dxfId="261" priority="791">
      <formula>$G$25="❌ FAIL"</formula>
    </cfRule>
    <cfRule type="expression" dxfId="260" priority="790">
      <formula>$G$25="✅ PASS"</formula>
    </cfRule>
  </conditionalFormatting>
  <conditionalFormatting sqref="K26">
    <cfRule type="expression" dxfId="259" priority="827">
      <formula>$G$26="❌ FAIL"</formula>
    </cfRule>
    <cfRule type="expression" dxfId="258" priority="828">
      <formula>$G$26="⚠️ PARTIEL"</formula>
    </cfRule>
    <cfRule type="expression" dxfId="257" priority="829">
      <formula>$G$26="🚫 N/A"</formula>
    </cfRule>
    <cfRule type="expression" dxfId="256" priority="826">
      <formula>$G$26="✅ PASS"</formula>
    </cfRule>
  </conditionalFormatting>
  <conditionalFormatting sqref="K27">
    <cfRule type="expression" dxfId="255" priority="863">
      <formula>$G$27="❌ FAIL"</formula>
    </cfRule>
    <cfRule type="expression" dxfId="254" priority="865">
      <formula>$G$27="🚫 N/A"</formula>
    </cfRule>
    <cfRule type="expression" dxfId="253" priority="864">
      <formula>$G$27="⚠️ PARTIEL"</formula>
    </cfRule>
    <cfRule type="expression" dxfId="252" priority="862">
      <formula>$G$27="✅ PASS"</formula>
    </cfRule>
  </conditionalFormatting>
  <conditionalFormatting sqref="K28">
    <cfRule type="expression" dxfId="251" priority="898">
      <formula>$G$28="✅ PASS"</formula>
    </cfRule>
    <cfRule type="expression" dxfId="250" priority="900">
      <formula>$G$28="⚠️ PARTIEL"</formula>
    </cfRule>
    <cfRule type="expression" dxfId="249" priority="901">
      <formula>$G$28="🚫 N/A"</formula>
    </cfRule>
    <cfRule type="expression" dxfId="248" priority="899">
      <formula>$G$28="❌ FAIL"</formula>
    </cfRule>
  </conditionalFormatting>
  <conditionalFormatting sqref="K29">
    <cfRule type="expression" dxfId="247" priority="937">
      <formula>$G$29="🚫 N/A"</formula>
    </cfRule>
    <cfRule type="expression" dxfId="246" priority="936">
      <formula>$G$29="⚠️ PARTIEL"</formula>
    </cfRule>
    <cfRule type="expression" dxfId="245" priority="935">
      <formula>$G$29="❌ FAIL"</formula>
    </cfRule>
    <cfRule type="expression" dxfId="244" priority="934">
      <formula>$G$29="✅ PASS"</formula>
    </cfRule>
  </conditionalFormatting>
  <conditionalFormatting sqref="K30">
    <cfRule type="expression" dxfId="243" priority="970">
      <formula>$G$30="✅ PASS"</formula>
    </cfRule>
    <cfRule type="expression" dxfId="242" priority="973">
      <formula>$G$30="🚫 N/A"</formula>
    </cfRule>
    <cfRule type="expression" dxfId="241" priority="972">
      <formula>$G$30="⚠️ PARTIEL"</formula>
    </cfRule>
    <cfRule type="expression" dxfId="240" priority="971">
      <formula>$G$30="❌ FAIL"</formula>
    </cfRule>
  </conditionalFormatting>
  <conditionalFormatting sqref="K31">
    <cfRule type="expression" dxfId="239" priority="1009">
      <formula>$G$31="🚫 N/A"</formula>
    </cfRule>
    <cfRule type="expression" dxfId="238" priority="1008">
      <formula>$G$31="⚠️ PARTIEL"</formula>
    </cfRule>
    <cfRule type="expression" dxfId="237" priority="1007">
      <formula>$G$31="❌ FAIL"</formula>
    </cfRule>
    <cfRule type="expression" dxfId="236" priority="1006">
      <formula>$G$31="✅ PASS"</formula>
    </cfRule>
  </conditionalFormatting>
  <conditionalFormatting sqref="K32">
    <cfRule type="expression" dxfId="235" priority="1042">
      <formula>$G$32="✅ PASS"</formula>
    </cfRule>
    <cfRule type="expression" dxfId="234" priority="1043">
      <formula>$G$32="❌ FAIL"</formula>
    </cfRule>
    <cfRule type="expression" dxfId="233" priority="1044">
      <formula>$G$32="⚠️ PARTIEL"</formula>
    </cfRule>
    <cfRule type="expression" dxfId="232" priority="1045">
      <formula>$G$32="🚫 N/A"</formula>
    </cfRule>
  </conditionalFormatting>
  <conditionalFormatting sqref="K33">
    <cfRule type="expression" dxfId="231" priority="1080">
      <formula>$G$33="⚠️ PARTIEL"</formula>
    </cfRule>
    <cfRule type="expression" dxfId="230" priority="1078">
      <formula>$G$33="✅ PASS"</formula>
    </cfRule>
    <cfRule type="expression" dxfId="229" priority="1081">
      <formula>$G$33="🚫 N/A"</formula>
    </cfRule>
    <cfRule type="expression" dxfId="228" priority="1079">
      <formula>$G$33="❌ FAIL"</formula>
    </cfRule>
  </conditionalFormatting>
  <conditionalFormatting sqref="K34">
    <cfRule type="expression" dxfId="227" priority="1116">
      <formula>$G$34="⚠️ PARTIEL"</formula>
    </cfRule>
    <cfRule type="expression" dxfId="226" priority="1117">
      <formula>$G$34="🚫 N/A"</formula>
    </cfRule>
    <cfRule type="expression" dxfId="225" priority="1115">
      <formula>$G$34="❌ FAIL"</formula>
    </cfRule>
    <cfRule type="expression" dxfId="224" priority="1114">
      <formula>$G$34="✅ PASS"</formula>
    </cfRule>
  </conditionalFormatting>
  <conditionalFormatting sqref="K35">
    <cfRule type="expression" dxfId="223" priority="1150">
      <formula>$G$35="✅ PASS"</formula>
    </cfRule>
    <cfRule type="expression" dxfId="222" priority="1151">
      <formula>$G$35="❌ FAIL"</formula>
    </cfRule>
    <cfRule type="expression" dxfId="221" priority="1152">
      <formula>$G$35="⚠️ PARTIEL"</formula>
    </cfRule>
    <cfRule type="expression" dxfId="220" priority="1153">
      <formula>$G$35="🚫 N/A"</formula>
    </cfRule>
  </conditionalFormatting>
  <conditionalFormatting sqref="K36">
    <cfRule type="expression" dxfId="219" priority="1186">
      <formula>$G$36="✅ PASS"</formula>
    </cfRule>
    <cfRule type="expression" dxfId="218" priority="1187">
      <formula>$G$36="❌ FAIL"</formula>
    </cfRule>
    <cfRule type="expression" dxfId="217" priority="1188">
      <formula>$G$36="⚠️ PARTIEL"</formula>
    </cfRule>
    <cfRule type="expression" dxfId="216" priority="1189">
      <formula>$G$36="🚫 N/A"</formula>
    </cfRule>
  </conditionalFormatting>
  <conditionalFormatting sqref="K37">
    <cfRule type="expression" dxfId="215" priority="1223">
      <formula>$G$37="❌ FAIL"</formula>
    </cfRule>
    <cfRule type="expression" dxfId="214" priority="1224">
      <formula>$G$37="⚠️ PARTIEL"</formula>
    </cfRule>
    <cfRule type="expression" dxfId="213" priority="1225">
      <formula>$G$37="🚫 N/A"</formula>
    </cfRule>
    <cfRule type="expression" dxfId="212" priority="1222">
      <formula>$G$37="✅ PASS"</formula>
    </cfRule>
  </conditionalFormatting>
  <conditionalFormatting sqref="K38">
    <cfRule type="expression" dxfId="211" priority="1258">
      <formula>$G$38="✅ PASS"</formula>
    </cfRule>
    <cfRule type="expression" dxfId="210" priority="1259">
      <formula>$G$38="❌ FAIL"</formula>
    </cfRule>
    <cfRule type="expression" dxfId="209" priority="1260">
      <formula>$G$38="⚠️ PARTIEL"</formula>
    </cfRule>
    <cfRule type="expression" dxfId="208" priority="1261">
      <formula>$G$38="🚫 N/A"</formula>
    </cfRule>
  </conditionalFormatting>
  <conditionalFormatting sqref="K39">
    <cfRule type="expression" dxfId="207" priority="1294">
      <formula>$G$39="✅ PASS"</formula>
    </cfRule>
    <cfRule type="expression" dxfId="206" priority="1295">
      <formula>$G$39="❌ FAIL"</formula>
    </cfRule>
    <cfRule type="expression" dxfId="205" priority="1296">
      <formula>$G$39="⚠️ PARTIEL"</formula>
    </cfRule>
    <cfRule type="expression" dxfId="204" priority="1297">
      <formula>$G$39="🚫 N/A"</formula>
    </cfRule>
  </conditionalFormatting>
  <conditionalFormatting sqref="K40">
    <cfRule type="expression" dxfId="203" priority="1331">
      <formula>$G$40="❌ FAIL"</formula>
    </cfRule>
    <cfRule type="expression" dxfId="202" priority="1330">
      <formula>$G$40="✅ PASS"</formula>
    </cfRule>
    <cfRule type="expression" dxfId="201" priority="1332">
      <formula>$G$40="⚠️ PARTIEL"</formula>
    </cfRule>
    <cfRule type="expression" dxfId="200" priority="1333">
      <formula>$G$40="🚫 N/A"</formula>
    </cfRule>
  </conditionalFormatting>
  <conditionalFormatting sqref="K41">
    <cfRule type="expression" dxfId="199" priority="1366">
      <formula>$G$41="✅ PASS"</formula>
    </cfRule>
    <cfRule type="expression" dxfId="198" priority="1367">
      <formula>$G$41="❌ FAIL"</formula>
    </cfRule>
    <cfRule type="expression" dxfId="197" priority="1368">
      <formula>$G$41="⚠️ PARTIEL"</formula>
    </cfRule>
    <cfRule type="expression" dxfId="196" priority="1369">
      <formula>$G$41="🚫 N/A"</formula>
    </cfRule>
  </conditionalFormatting>
  <conditionalFormatting sqref="K42">
    <cfRule type="expression" dxfId="195" priority="1402">
      <formula>$G$42="✅ PASS"</formula>
    </cfRule>
    <cfRule type="expression" dxfId="194" priority="1405">
      <formula>$G$42="🚫 N/A"</formula>
    </cfRule>
    <cfRule type="expression" dxfId="193" priority="1403">
      <formula>$G$42="❌ FAIL"</formula>
    </cfRule>
    <cfRule type="expression" dxfId="192" priority="1404">
      <formula>$G$42="⚠️ PARTIEL"</formula>
    </cfRule>
  </conditionalFormatting>
  <conditionalFormatting sqref="K43">
    <cfRule type="expression" dxfId="191" priority="1441">
      <formula>$G$43="🚫 N/A"</formula>
    </cfRule>
    <cfRule type="expression" dxfId="190" priority="1438">
      <formula>$G$43="✅ PASS"</formula>
    </cfRule>
    <cfRule type="expression" dxfId="189" priority="1439">
      <formula>$G$43="❌ FAIL"</formula>
    </cfRule>
    <cfRule type="expression" dxfId="188" priority="1440">
      <formula>$G$43="⚠️ PARTIEL"</formula>
    </cfRule>
  </conditionalFormatting>
  <conditionalFormatting sqref="K44">
    <cfRule type="expression" dxfId="187" priority="1476">
      <formula>$G$44="⚠️ PARTIEL"</formula>
    </cfRule>
    <cfRule type="expression" dxfId="186" priority="1474">
      <formula>$G$44="✅ PASS"</formula>
    </cfRule>
    <cfRule type="expression" dxfId="185" priority="1475">
      <formula>$G$44="❌ FAIL"</formula>
    </cfRule>
    <cfRule type="expression" dxfId="184" priority="1477">
      <formula>$G$44="🚫 N/A"</formula>
    </cfRule>
  </conditionalFormatting>
  <conditionalFormatting sqref="K45">
    <cfRule type="expression" dxfId="183" priority="1512">
      <formula>$G$45="⚠️ PARTIEL"</formula>
    </cfRule>
    <cfRule type="expression" dxfId="182" priority="1513">
      <formula>$G$45="🚫 N/A"</formula>
    </cfRule>
    <cfRule type="expression" dxfId="181" priority="1511">
      <formula>$G$45="❌ FAIL"</formula>
    </cfRule>
    <cfRule type="expression" dxfId="180" priority="1510">
      <formula>$G$45="✅ PASS"</formula>
    </cfRule>
  </conditionalFormatting>
  <conditionalFormatting sqref="K46">
    <cfRule type="expression" dxfId="179" priority="1546">
      <formula>$G$46="✅ PASS"</formula>
    </cfRule>
    <cfRule type="expression" dxfId="178" priority="1547">
      <formula>$G$46="❌ FAIL"</formula>
    </cfRule>
    <cfRule type="expression" dxfId="177" priority="1548">
      <formula>$G$46="⚠️ PARTIEL"</formula>
    </cfRule>
    <cfRule type="expression" dxfId="176" priority="1549">
      <formula>$G$46="🚫 N/A"</formula>
    </cfRule>
  </conditionalFormatting>
  <conditionalFormatting sqref="K47">
    <cfRule type="expression" dxfId="175" priority="1585">
      <formula>$G$47="🚫 N/A"</formula>
    </cfRule>
    <cfRule type="expression" dxfId="174" priority="1584">
      <formula>$G$47="⚠️ PARTIEL"</formula>
    </cfRule>
    <cfRule type="expression" dxfId="173" priority="1582">
      <formula>$G$47="✅ PASS"</formula>
    </cfRule>
    <cfRule type="expression" dxfId="172" priority="1583">
      <formula>$G$47="❌ FAIL"</formula>
    </cfRule>
  </conditionalFormatting>
  <conditionalFormatting sqref="K48">
    <cfRule type="expression" dxfId="171" priority="1618">
      <formula>$G$48="✅ PASS"</formula>
    </cfRule>
    <cfRule type="expression" dxfId="170" priority="1619">
      <formula>$G$48="❌ FAIL"</formula>
    </cfRule>
    <cfRule type="expression" dxfId="169" priority="1620">
      <formula>$G$48="⚠️ PARTIEL"</formula>
    </cfRule>
    <cfRule type="expression" dxfId="168" priority="1621">
      <formula>$G$48="🚫 N/A"</formula>
    </cfRule>
  </conditionalFormatting>
  <conditionalFormatting sqref="K49">
    <cfRule type="expression" dxfId="167" priority="1656">
      <formula>$G$49="⚠️ PARTIEL"</formula>
    </cfRule>
    <cfRule type="expression" dxfId="166" priority="1654">
      <formula>$G$49="✅ PASS"</formula>
    </cfRule>
    <cfRule type="expression" dxfId="165" priority="1655">
      <formula>$G$49="❌ FAIL"</formula>
    </cfRule>
    <cfRule type="expression" dxfId="164" priority="1657">
      <formula>$G$49="🚫 N/A"</formula>
    </cfRule>
  </conditionalFormatting>
  <conditionalFormatting sqref="K50">
    <cfRule type="expression" dxfId="163" priority="1692">
      <formula>$G$50="⚠️ PARTIEL"</formula>
    </cfRule>
    <cfRule type="expression" dxfId="162" priority="1691">
      <formula>$G$50="❌ FAIL"</formula>
    </cfRule>
    <cfRule type="expression" dxfId="161" priority="1693">
      <formula>$G$50="🚫 N/A"</formula>
    </cfRule>
    <cfRule type="expression" dxfId="160" priority="1690">
      <formula>$G$50="✅ PASS"</formula>
    </cfRule>
  </conditionalFormatting>
  <conditionalFormatting sqref="K51">
    <cfRule type="expression" dxfId="159" priority="1727">
      <formula>$G$51="❌ FAIL"</formula>
    </cfRule>
    <cfRule type="expression" dxfId="158" priority="1726">
      <formula>$G$51="✅ PASS"</formula>
    </cfRule>
    <cfRule type="expression" dxfId="157" priority="1728">
      <formula>$G$51="⚠️ PARTIEL"</formula>
    </cfRule>
    <cfRule type="expression" dxfId="156" priority="1729">
      <formula>$G$51="🚫 N/A"</formula>
    </cfRule>
  </conditionalFormatting>
  <conditionalFormatting sqref="K52">
    <cfRule type="expression" dxfId="155" priority="1762">
      <formula>$G$52="✅ PASS"</formula>
    </cfRule>
    <cfRule type="expression" dxfId="154" priority="1765">
      <formula>$G$52="🚫 N/A"</formula>
    </cfRule>
    <cfRule type="expression" dxfId="153" priority="1763">
      <formula>$G$52="❌ FAIL"</formula>
    </cfRule>
    <cfRule type="expression" dxfId="152" priority="1764">
      <formula>$G$52="⚠️ PARTIEL"</formula>
    </cfRule>
  </conditionalFormatting>
  <conditionalFormatting sqref="K53">
    <cfRule type="expression" dxfId="151" priority="1801">
      <formula>$G$53="🚫 N/A"</formula>
    </cfRule>
    <cfRule type="expression" dxfId="150" priority="1800">
      <formula>$G$53="⚠️ PARTIEL"</formula>
    </cfRule>
    <cfRule type="expression" dxfId="149" priority="1799">
      <formula>$G$53="❌ FAIL"</formula>
    </cfRule>
    <cfRule type="expression" dxfId="148" priority="1798">
      <formula>$G$53="✅ PASS"</formula>
    </cfRule>
  </conditionalFormatting>
  <conditionalFormatting sqref="K54">
    <cfRule type="expression" dxfId="147" priority="1834">
      <formula>$G$54="✅ PASS"</formula>
    </cfRule>
    <cfRule type="expression" dxfId="146" priority="1835">
      <formula>$G$54="❌ FAIL"</formula>
    </cfRule>
    <cfRule type="expression" dxfId="145" priority="1837">
      <formula>$G$54="🚫 N/A"</formula>
    </cfRule>
    <cfRule type="expression" dxfId="144" priority="1836">
      <formula>$G$54="⚠️ PARTIEL"</formula>
    </cfRule>
  </conditionalFormatting>
  <conditionalFormatting sqref="K55">
    <cfRule type="expression" dxfId="143" priority="1872">
      <formula>$G$55="⚠️ PARTIEL"</formula>
    </cfRule>
    <cfRule type="expression" dxfId="142" priority="1871">
      <formula>$G$55="❌ FAIL"</formula>
    </cfRule>
    <cfRule type="expression" dxfId="141" priority="1870">
      <formula>$G$55="✅ PASS"</formula>
    </cfRule>
    <cfRule type="expression" dxfId="140" priority="1873">
      <formula>$G$55="🚫 N/A"</formula>
    </cfRule>
  </conditionalFormatting>
  <conditionalFormatting sqref="K56">
    <cfRule type="expression" dxfId="139" priority="1908">
      <formula>$G$56="⚠️ PARTIEL"</formula>
    </cfRule>
    <cfRule type="expression" dxfId="138" priority="1907">
      <formula>$G$56="❌ FAIL"</formula>
    </cfRule>
    <cfRule type="expression" dxfId="137" priority="1909">
      <formula>$G$56="🚫 N/A"</formula>
    </cfRule>
    <cfRule type="expression" dxfId="136" priority="1906">
      <formula>$G$56="✅ PASS"</formula>
    </cfRule>
  </conditionalFormatting>
  <conditionalFormatting sqref="K57">
    <cfRule type="expression" dxfId="135" priority="1945">
      <formula>$G$57="🚫 N/A"</formula>
    </cfRule>
    <cfRule type="expression" dxfId="134" priority="1942">
      <formula>$G$57="✅ PASS"</formula>
    </cfRule>
    <cfRule type="expression" dxfId="133" priority="1943">
      <formula>$G$57="❌ FAIL"</formula>
    </cfRule>
    <cfRule type="expression" dxfId="132" priority="1944">
      <formula>$G$57="⚠️ PARTIEL"</formula>
    </cfRule>
  </conditionalFormatting>
  <conditionalFormatting sqref="K58">
    <cfRule type="expression" dxfId="131" priority="1980">
      <formula>$G$58="⚠️ PARTIEL"</formula>
    </cfRule>
    <cfRule type="expression" dxfId="130" priority="1979">
      <formula>$G$58="❌ FAIL"</formula>
    </cfRule>
    <cfRule type="expression" dxfId="129" priority="1981">
      <formula>$G$58="🚫 N/A"</formula>
    </cfRule>
    <cfRule type="expression" dxfId="128" priority="1978">
      <formula>$G$58="✅ PASS"</formula>
    </cfRule>
  </conditionalFormatting>
  <conditionalFormatting sqref="K59">
    <cfRule type="expression" dxfId="127" priority="2017">
      <formula>$G$59="🚫 N/A"</formula>
    </cfRule>
    <cfRule type="expression" dxfId="126" priority="2014">
      <formula>$G$59="✅ PASS"</formula>
    </cfRule>
    <cfRule type="expression" dxfId="125" priority="2015">
      <formula>$G$59="❌ FAIL"</formula>
    </cfRule>
    <cfRule type="expression" dxfId="124" priority="2016">
      <formula>$G$59="⚠️ PARTIEL"</formula>
    </cfRule>
  </conditionalFormatting>
  <conditionalFormatting sqref="K60">
    <cfRule type="expression" dxfId="123" priority="2050">
      <formula>$G$60="✅ PASS"</formula>
    </cfRule>
    <cfRule type="expression" dxfId="122" priority="2051">
      <formula>$G$60="❌ FAIL"</formula>
    </cfRule>
    <cfRule type="expression" dxfId="121" priority="2052">
      <formula>$G$60="⚠️ PARTIEL"</formula>
    </cfRule>
    <cfRule type="expression" dxfId="120" priority="2053">
      <formula>$G$60="🚫 N/A"</formula>
    </cfRule>
  </conditionalFormatting>
  <conditionalFormatting sqref="K61">
    <cfRule type="expression" dxfId="119" priority="2089">
      <formula>$G$61="🚫 N/A"</formula>
    </cfRule>
    <cfRule type="expression" dxfId="118" priority="2088">
      <formula>$G$61="⚠️ PARTIEL"</formula>
    </cfRule>
    <cfRule type="expression" dxfId="117" priority="2087">
      <formula>$G$61="❌ FAIL"</formula>
    </cfRule>
    <cfRule type="expression" dxfId="116" priority="2086">
      <formula>$G$61="✅ PASS"</formula>
    </cfRule>
  </conditionalFormatting>
  <conditionalFormatting sqref="K62">
    <cfRule type="expression" dxfId="115" priority="2125">
      <formula>$G$62="🚫 N/A"</formula>
    </cfRule>
    <cfRule type="expression" dxfId="114" priority="2124">
      <formula>$G$62="⚠️ PARTIEL"</formula>
    </cfRule>
    <cfRule type="expression" dxfId="113" priority="2123">
      <formula>$G$62="❌ FAIL"</formula>
    </cfRule>
    <cfRule type="expression" dxfId="112" priority="2122">
      <formula>$G$62="✅ PASS"</formula>
    </cfRule>
  </conditionalFormatting>
  <conditionalFormatting sqref="K63">
    <cfRule type="expression" dxfId="111" priority="2161">
      <formula>$G$63="🚫 N/A"</formula>
    </cfRule>
    <cfRule type="expression" dxfId="110" priority="2160">
      <formula>$G$63="⚠️ PARTIEL"</formula>
    </cfRule>
    <cfRule type="expression" dxfId="109" priority="2158">
      <formula>$G$63="✅ PASS"</formula>
    </cfRule>
    <cfRule type="expression" dxfId="108" priority="2159">
      <formula>$G$63="❌ FAIL"</formula>
    </cfRule>
  </conditionalFormatting>
  <conditionalFormatting sqref="K64">
    <cfRule type="expression" dxfId="107" priority="2196">
      <formula>$G$64="⚠️ PARTIEL"</formula>
    </cfRule>
    <cfRule type="expression" dxfId="106" priority="2195">
      <formula>$G$64="❌ FAIL"</formula>
    </cfRule>
    <cfRule type="expression" dxfId="105" priority="2194">
      <formula>$G$64="✅ PASS"</formula>
    </cfRule>
    <cfRule type="expression" dxfId="104" priority="2197">
      <formula>$G$64="🚫 N/A"</formula>
    </cfRule>
  </conditionalFormatting>
  <conditionalFormatting sqref="K65">
    <cfRule type="expression" dxfId="103" priority="2230">
      <formula>$G$65="✅ PASS"</formula>
    </cfRule>
    <cfRule type="expression" dxfId="102" priority="2233">
      <formula>$G$65="🚫 N/A"</formula>
    </cfRule>
    <cfRule type="expression" dxfId="101" priority="2232">
      <formula>$G$65="⚠️ PARTIEL"</formula>
    </cfRule>
    <cfRule type="expression" dxfId="100" priority="2231">
      <formula>$G$65="❌ FAIL"</formula>
    </cfRule>
  </conditionalFormatting>
  <conditionalFormatting sqref="K66">
    <cfRule type="expression" dxfId="99" priority="2266">
      <formula>$G$66="✅ PASS"</formula>
    </cfRule>
    <cfRule type="expression" dxfId="98" priority="2268">
      <formula>$G$66="⚠️ PARTIEL"</formula>
    </cfRule>
    <cfRule type="expression" dxfId="97" priority="2269">
      <formula>$G$66="🚫 N/A"</formula>
    </cfRule>
    <cfRule type="expression" dxfId="96" priority="2267">
      <formula>$G$66="❌ FAIL"</formula>
    </cfRule>
  </conditionalFormatting>
  <conditionalFormatting sqref="K67">
    <cfRule type="expression" dxfId="95" priority="2302">
      <formula>$G$67="✅ PASS"</formula>
    </cfRule>
    <cfRule type="expression" dxfId="94" priority="2304">
      <formula>$G$67="⚠️ PARTIEL"</formula>
    </cfRule>
    <cfRule type="expression" dxfId="93" priority="2303">
      <formula>$G$67="❌ FAIL"</formula>
    </cfRule>
    <cfRule type="expression" dxfId="92" priority="2305">
      <formula>$G$67="🚫 N/A"</formula>
    </cfRule>
  </conditionalFormatting>
  <conditionalFormatting sqref="K68">
    <cfRule type="expression" dxfId="91" priority="2338">
      <formula>$G$68="✅ PASS"</formula>
    </cfRule>
    <cfRule type="expression" dxfId="90" priority="2339">
      <formula>$G$68="❌ FAIL"</formula>
    </cfRule>
    <cfRule type="expression" dxfId="89" priority="2340">
      <formula>$G$68="⚠️ PARTIEL"</formula>
    </cfRule>
    <cfRule type="expression" dxfId="88" priority="2341">
      <formula>$G$68="🚫 N/A"</formula>
    </cfRule>
  </conditionalFormatting>
  <conditionalFormatting sqref="K69">
    <cfRule type="expression" dxfId="87" priority="2377">
      <formula>$G$69="🚫 N/A"</formula>
    </cfRule>
    <cfRule type="expression" dxfId="86" priority="2376">
      <formula>$G$69="⚠️ PARTIEL"</formula>
    </cfRule>
    <cfRule type="expression" dxfId="85" priority="2375">
      <formula>$G$69="❌ FAIL"</formula>
    </cfRule>
    <cfRule type="expression" dxfId="84" priority="2374">
      <formula>$G$69="✅ PASS"</formula>
    </cfRule>
  </conditionalFormatting>
  <conditionalFormatting sqref="K70">
    <cfRule type="expression" dxfId="83" priority="2411">
      <formula>$G$70="❌ FAIL"</formula>
    </cfRule>
    <cfRule type="expression" dxfId="82" priority="2413">
      <formula>$G$70="🚫 N/A"</formula>
    </cfRule>
    <cfRule type="expression" dxfId="81" priority="2412">
      <formula>$G$70="⚠️ PARTIEL"</formula>
    </cfRule>
    <cfRule type="expression" dxfId="80" priority="2410">
      <formula>$G$70="✅ PASS"</formula>
    </cfRule>
  </conditionalFormatting>
  <conditionalFormatting sqref="K71">
    <cfRule type="expression" dxfId="79" priority="2449">
      <formula>$G$71="🚫 N/A"</formula>
    </cfRule>
    <cfRule type="expression" dxfId="78" priority="2446">
      <formula>$G$71="✅ PASS"</formula>
    </cfRule>
    <cfRule type="expression" dxfId="77" priority="2448">
      <formula>$G$71="⚠️ PARTIEL"</formula>
    </cfRule>
    <cfRule type="expression" dxfId="76" priority="2447">
      <formula>$G$71="❌ FAIL"</formula>
    </cfRule>
  </conditionalFormatting>
  <conditionalFormatting sqref="K72">
    <cfRule type="expression" dxfId="75" priority="2485">
      <formula>$G$72="🚫 N/A"</formula>
    </cfRule>
    <cfRule type="expression" dxfId="74" priority="2484">
      <formula>$G$72="⚠️ PARTIEL"</formula>
    </cfRule>
    <cfRule type="expression" dxfId="73" priority="2483">
      <formula>$G$72="❌ FAIL"</formula>
    </cfRule>
    <cfRule type="expression" dxfId="72" priority="2482">
      <formula>$G$72="✅ PASS"</formula>
    </cfRule>
  </conditionalFormatting>
  <conditionalFormatting sqref="K73">
    <cfRule type="expression" dxfId="71" priority="2518">
      <formula>$G$73="✅ PASS"</formula>
    </cfRule>
    <cfRule type="expression" dxfId="70" priority="2520">
      <formula>$G$73="⚠️ PARTIEL"</formula>
    </cfRule>
    <cfRule type="expression" dxfId="69" priority="2521">
      <formula>$G$73="🚫 N/A"</formula>
    </cfRule>
    <cfRule type="expression" dxfId="68" priority="2519">
      <formula>$G$73="❌ FAIL"</formula>
    </cfRule>
  </conditionalFormatting>
  <conditionalFormatting sqref="K74">
    <cfRule type="expression" dxfId="67" priority="2554">
      <formula>$G$74="✅ PASS"</formula>
    </cfRule>
    <cfRule type="expression" dxfId="66" priority="2555">
      <formula>$G$74="❌ FAIL"</formula>
    </cfRule>
    <cfRule type="expression" dxfId="65" priority="2556">
      <formula>$G$74="⚠️ PARTIEL"</formula>
    </cfRule>
    <cfRule type="expression" dxfId="64" priority="2557">
      <formula>$G$74="🚫 N/A"</formula>
    </cfRule>
  </conditionalFormatting>
  <conditionalFormatting sqref="K75">
    <cfRule type="expression" dxfId="63" priority="2590">
      <formula>$G$75="✅ PASS"</formula>
    </cfRule>
    <cfRule type="expression" dxfId="62" priority="2591">
      <formula>$G$75="❌ FAIL"</formula>
    </cfRule>
    <cfRule type="expression" dxfId="61" priority="2592">
      <formula>$G$75="⚠️ PARTIEL"</formula>
    </cfRule>
    <cfRule type="expression" dxfId="60" priority="2593">
      <formula>$G$75="🚫 N/A"</formula>
    </cfRule>
  </conditionalFormatting>
  <conditionalFormatting sqref="K76">
    <cfRule type="expression" dxfId="59" priority="2626">
      <formula>$G$76="✅ PASS"</formula>
    </cfRule>
    <cfRule type="expression" dxfId="58" priority="2627">
      <formula>$G$76="❌ FAIL"</formula>
    </cfRule>
    <cfRule type="expression" dxfId="57" priority="2628">
      <formula>$G$76="⚠️ PARTIEL"</formula>
    </cfRule>
    <cfRule type="expression" dxfId="56" priority="2629">
      <formula>$G$76="🚫 N/A"</formula>
    </cfRule>
  </conditionalFormatting>
  <conditionalFormatting sqref="K77">
    <cfRule type="expression" dxfId="55" priority="2662">
      <formula>$G$77="✅ PASS"</formula>
    </cfRule>
    <cfRule type="expression" dxfId="54" priority="2663">
      <formula>$G$77="❌ FAIL"</formula>
    </cfRule>
    <cfRule type="expression" dxfId="53" priority="2664">
      <formula>$G$77="⚠️ PARTIEL"</formula>
    </cfRule>
    <cfRule type="expression" dxfId="52" priority="2665">
      <formula>$G$77="🚫 N/A"</formula>
    </cfRule>
  </conditionalFormatting>
  <conditionalFormatting sqref="K78">
    <cfRule type="expression" dxfId="51" priority="2699">
      <formula>$G$78="❌ FAIL"</formula>
    </cfRule>
    <cfRule type="expression" dxfId="50" priority="2701">
      <formula>$G$78="🚫 N/A"</formula>
    </cfRule>
    <cfRule type="expression" dxfId="49" priority="2700">
      <formula>$G$78="⚠️ PARTIEL"</formula>
    </cfRule>
    <cfRule type="expression" dxfId="48" priority="2698">
      <formula>$G$78="✅ PASS"</formula>
    </cfRule>
  </conditionalFormatting>
  <conditionalFormatting sqref="K79">
    <cfRule type="expression" dxfId="47" priority="2734">
      <formula>$G$79="✅ PASS"</formula>
    </cfRule>
    <cfRule type="expression" dxfId="46" priority="2737">
      <formula>$G$79="🚫 N/A"</formula>
    </cfRule>
    <cfRule type="expression" dxfId="45" priority="2735">
      <formula>$G$79="❌ FAIL"</formula>
    </cfRule>
    <cfRule type="expression" dxfId="44" priority="2736">
      <formula>$G$79="⚠️ PARTIEL"</formula>
    </cfRule>
  </conditionalFormatting>
  <conditionalFormatting sqref="K80">
    <cfRule type="expression" dxfId="43" priority="2770">
      <formula>$G$80="✅ PASS"</formula>
    </cfRule>
    <cfRule type="expression" dxfId="42" priority="2771">
      <formula>$G$80="❌ FAIL"</formula>
    </cfRule>
    <cfRule type="expression" dxfId="41" priority="2772">
      <formula>$G$80="⚠️ PARTIEL"</formula>
    </cfRule>
    <cfRule type="expression" dxfId="40" priority="2773">
      <formula>$G$80="🚫 N/A"</formula>
    </cfRule>
  </conditionalFormatting>
  <conditionalFormatting sqref="K81">
    <cfRule type="expression" dxfId="39" priority="2806">
      <formula>$G$81="✅ PASS"</formula>
    </cfRule>
    <cfRule type="expression" dxfId="38" priority="2807">
      <formula>$G$81="❌ FAIL"</formula>
    </cfRule>
    <cfRule type="expression" dxfId="37" priority="2809">
      <formula>$G$81="🚫 N/A"</formula>
    </cfRule>
    <cfRule type="expression" dxfId="36" priority="2808">
      <formula>$G$81="⚠️ PARTIEL"</formula>
    </cfRule>
  </conditionalFormatting>
  <conditionalFormatting sqref="K82">
    <cfRule type="expression" dxfId="35" priority="2842">
      <formula>$G$82="✅ PASS"</formula>
    </cfRule>
    <cfRule type="expression" dxfId="34" priority="2843">
      <formula>$G$82="❌ FAIL"</formula>
    </cfRule>
    <cfRule type="expression" dxfId="33" priority="2844">
      <formula>$G$82="⚠️ PARTIEL"</formula>
    </cfRule>
    <cfRule type="expression" dxfId="32" priority="2845">
      <formula>$G$82="🚫 N/A"</formula>
    </cfRule>
  </conditionalFormatting>
  <conditionalFormatting sqref="K83">
    <cfRule type="expression" dxfId="31" priority="2878">
      <formula>$G$83="✅ PASS"</formula>
    </cfRule>
    <cfRule type="expression" dxfId="30" priority="2879">
      <formula>$G$83="❌ FAIL"</formula>
    </cfRule>
    <cfRule type="expression" dxfId="29" priority="2880">
      <formula>$G$83="⚠️ PARTIEL"</formula>
    </cfRule>
    <cfRule type="expression" dxfId="28" priority="2881">
      <formula>$G$83="🚫 N/A"</formula>
    </cfRule>
  </conditionalFormatting>
  <conditionalFormatting sqref="K84">
    <cfRule type="expression" dxfId="27" priority="2915">
      <formula>$G$84="❌ FAIL"</formula>
    </cfRule>
    <cfRule type="expression" dxfId="26" priority="2914">
      <formula>$G$84="✅ PASS"</formula>
    </cfRule>
    <cfRule type="expression" dxfId="25" priority="2917">
      <formula>$G$84="🚫 N/A"</formula>
    </cfRule>
    <cfRule type="expression" dxfId="24" priority="2916">
      <formula>$G$84="⚠️ PARTIEL"</formula>
    </cfRule>
  </conditionalFormatting>
  <conditionalFormatting sqref="K85">
    <cfRule type="expression" dxfId="23" priority="2953">
      <formula>$G$85="🚫 N/A"</formula>
    </cfRule>
    <cfRule type="expression" dxfId="22" priority="2952">
      <formula>$G$85="⚠️ PARTIEL"</formula>
    </cfRule>
    <cfRule type="expression" dxfId="21" priority="2951">
      <formula>$G$85="❌ FAIL"</formula>
    </cfRule>
    <cfRule type="expression" dxfId="20" priority="2950">
      <formula>$G$85="✅ PASS"</formula>
    </cfRule>
  </conditionalFormatting>
  <conditionalFormatting sqref="K86">
    <cfRule type="expression" dxfId="19" priority="2989">
      <formula>$G$86="🚫 N/A"</formula>
    </cfRule>
    <cfRule type="expression" dxfId="18" priority="2986">
      <formula>$G$86="✅ PASS"</formula>
    </cfRule>
    <cfRule type="expression" dxfId="17" priority="2988">
      <formula>$G$86="⚠️ PARTIEL"</formula>
    </cfRule>
    <cfRule type="expression" dxfId="16" priority="2987">
      <formula>$G$86="❌ FAIL"</formula>
    </cfRule>
  </conditionalFormatting>
  <conditionalFormatting sqref="K87">
    <cfRule type="expression" dxfId="15" priority="3025">
      <formula>$G$87="🚫 N/A"</formula>
    </cfRule>
    <cfRule type="expression" dxfId="14" priority="3022">
      <formula>$G$87="✅ PASS"</formula>
    </cfRule>
    <cfRule type="expression" dxfId="13" priority="3023">
      <formula>$G$87="❌ FAIL"</formula>
    </cfRule>
    <cfRule type="expression" dxfId="12" priority="3024">
      <formula>$G$87="⚠️ PARTIEL"</formula>
    </cfRule>
  </conditionalFormatting>
  <conditionalFormatting sqref="K88">
    <cfRule type="expression" dxfId="11" priority="3058">
      <formula>$G$88="✅ PASS"</formula>
    </cfRule>
    <cfRule type="expression" dxfId="10" priority="3059">
      <formula>$G$88="❌ FAIL"</formula>
    </cfRule>
    <cfRule type="expression" dxfId="9" priority="3060">
      <formula>$G$88="⚠️ PARTIEL"</formula>
    </cfRule>
    <cfRule type="expression" dxfId="8" priority="3061">
      <formula>$G$88="🚫 N/A"</formula>
    </cfRule>
  </conditionalFormatting>
  <conditionalFormatting sqref="K89">
    <cfRule type="expression" dxfId="7" priority="3094">
      <formula>$G$89="✅ PASS"</formula>
    </cfRule>
    <cfRule type="expression" dxfId="6" priority="3095">
      <formula>$G$89="❌ FAIL"</formula>
    </cfRule>
    <cfRule type="expression" dxfId="5" priority="3096">
      <formula>$G$89="⚠️ PARTIEL"</formula>
    </cfRule>
    <cfRule type="expression" dxfId="4" priority="3097">
      <formula>$G$89="🚫 N/A"</formula>
    </cfRule>
  </conditionalFormatting>
  <conditionalFormatting sqref="K90">
    <cfRule type="expression" dxfId="3" priority="3133">
      <formula>$G$90="🚫 N/A"</formula>
    </cfRule>
    <cfRule type="expression" dxfId="2" priority="3130">
      <formula>$G$90="✅ PASS"</formula>
    </cfRule>
    <cfRule type="expression" dxfId="1" priority="3131">
      <formula>$G$90="❌ FAIL"</formula>
    </cfRule>
    <cfRule type="expression" dxfId="0" priority="3132">
      <formula>$G$90="⚠️ PARTIEL"</formula>
    </cfRule>
  </conditionalFormatting>
  <dataValidations count="2">
    <dataValidation type="list" showErrorMessage="1" errorTitle="Valeur invalide" error="Choisissez un statut dans la liste déroulante." sqref="G4:G500" xr:uid="{00000000-0002-0000-0100-000000000000}">
      <formula1>"☐ À tester,✅ PASS,❌ FAIL,⚠️ PARTIEL,🚫 N/A"</formula1>
      <formula2>0</formula2>
    </dataValidation>
    <dataValidation type="list" sqref="F4:F500" xr:uid="{00000000-0002-0000-0100-000001000000}">
      <formula1>"CRITIQUE,HAUTE,NORMALE,BASSE"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71C1C"/>
  </sheetPr>
  <dimension ref="A1:I53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H4" sqref="H4"/>
    </sheetView>
  </sheetViews>
  <sheetFormatPr baseColWidth="10" defaultColWidth="8.6640625" defaultRowHeight="14.4" x14ac:dyDescent="0.3"/>
  <cols>
    <col min="1" max="1" width="6" customWidth="1"/>
    <col min="2" max="3" width="12" customWidth="1"/>
    <col min="4" max="4" width="35" customWidth="1"/>
    <col min="5" max="5" width="45" customWidth="1"/>
    <col min="6" max="6" width="12" customWidth="1"/>
    <col min="7" max="7" width="14" customWidth="1"/>
    <col min="8" max="8" width="20" customWidth="1"/>
    <col min="9" max="9" width="14" customWidth="1"/>
  </cols>
  <sheetData>
    <row r="1" spans="1:9" ht="31.5" customHeight="1" x14ac:dyDescent="0.3">
      <c r="A1" s="2" t="s">
        <v>415</v>
      </c>
      <c r="B1" s="2"/>
      <c r="C1" s="2"/>
      <c r="D1" s="2"/>
      <c r="E1" s="2"/>
      <c r="F1" s="2"/>
      <c r="G1" s="2"/>
      <c r="H1" s="2"/>
      <c r="I1" s="2"/>
    </row>
    <row r="2" spans="1:9" ht="18" customHeight="1" x14ac:dyDescent="0.3">
      <c r="A2" s="3" t="s">
        <v>416</v>
      </c>
      <c r="B2" s="3"/>
      <c r="C2" s="3"/>
      <c r="D2" s="3"/>
      <c r="E2" s="3"/>
      <c r="F2" s="3"/>
      <c r="G2" s="3"/>
      <c r="H2" s="3"/>
      <c r="I2" s="3"/>
    </row>
    <row r="3" spans="1:9" ht="24" customHeight="1" x14ac:dyDescent="0.3">
      <c r="A3" s="34" t="s">
        <v>417</v>
      </c>
      <c r="B3" s="34" t="s">
        <v>418</v>
      </c>
      <c r="C3" s="34" t="s">
        <v>2</v>
      </c>
      <c r="D3" s="34" t="s">
        <v>419</v>
      </c>
      <c r="E3" s="34" t="s">
        <v>420</v>
      </c>
      <c r="F3" s="34" t="s">
        <v>421</v>
      </c>
      <c r="G3" s="34" t="s">
        <v>422</v>
      </c>
      <c r="H3" s="34" t="s">
        <v>423</v>
      </c>
      <c r="I3" s="34" t="s">
        <v>424</v>
      </c>
    </row>
    <row r="4" spans="1:9" ht="36" customHeight="1" x14ac:dyDescent="0.3">
      <c r="A4" s="47" t="str">
        <f>IF(B4&lt;&gt;"",1,"")</f>
        <v/>
      </c>
      <c r="B4" s="12"/>
      <c r="C4" s="12"/>
      <c r="D4" s="48"/>
      <c r="E4" s="48"/>
      <c r="F4" s="49"/>
      <c r="G4" s="50"/>
      <c r="H4" s="12"/>
      <c r="I4" s="12"/>
    </row>
    <row r="5" spans="1:9" ht="36" customHeight="1" x14ac:dyDescent="0.3">
      <c r="A5" s="51" t="str">
        <f>IF(B5&lt;&gt;"",2,"")</f>
        <v/>
      </c>
      <c r="B5" s="21"/>
      <c r="C5" s="21"/>
      <c r="D5" s="52"/>
      <c r="E5" s="52"/>
      <c r="F5" s="49"/>
      <c r="G5" s="50"/>
      <c r="H5" s="21"/>
      <c r="I5" s="21"/>
    </row>
    <row r="6" spans="1:9" ht="36" customHeight="1" x14ac:dyDescent="0.3">
      <c r="A6" s="47" t="str">
        <f>IF(B6&lt;&gt;"",3,"")</f>
        <v/>
      </c>
      <c r="B6" s="12"/>
      <c r="C6" s="12"/>
      <c r="D6" s="48"/>
      <c r="E6" s="48"/>
      <c r="F6" s="49"/>
      <c r="G6" s="50"/>
      <c r="H6" s="12"/>
      <c r="I6" s="12"/>
    </row>
    <row r="7" spans="1:9" ht="36" customHeight="1" x14ac:dyDescent="0.3">
      <c r="A7" s="51" t="str">
        <f>IF(B7&lt;&gt;"",4,"")</f>
        <v/>
      </c>
      <c r="B7" s="21"/>
      <c r="C7" s="21"/>
      <c r="D7" s="52"/>
      <c r="E7" s="52"/>
      <c r="F7" s="49"/>
      <c r="G7" s="50"/>
      <c r="H7" s="21"/>
      <c r="I7" s="21"/>
    </row>
    <row r="8" spans="1:9" ht="36" customHeight="1" x14ac:dyDescent="0.3">
      <c r="A8" s="47" t="str">
        <f>IF(B8&lt;&gt;"",5,"")</f>
        <v/>
      </c>
      <c r="B8" s="12"/>
      <c r="C8" s="12"/>
      <c r="D8" s="48"/>
      <c r="E8" s="48"/>
      <c r="F8" s="49"/>
      <c r="G8" s="50"/>
      <c r="H8" s="12"/>
      <c r="I8" s="12"/>
    </row>
    <row r="9" spans="1:9" ht="36" customHeight="1" x14ac:dyDescent="0.3">
      <c r="A9" s="51" t="str">
        <f>IF(B9&lt;&gt;"",6,"")</f>
        <v/>
      </c>
      <c r="B9" s="21"/>
      <c r="C9" s="21"/>
      <c r="D9" s="52"/>
      <c r="E9" s="52"/>
      <c r="F9" s="49"/>
      <c r="G9" s="50"/>
      <c r="H9" s="21"/>
      <c r="I9" s="21"/>
    </row>
    <row r="10" spans="1:9" ht="36" customHeight="1" x14ac:dyDescent="0.3">
      <c r="A10" s="47" t="str">
        <f>IF(B10&lt;&gt;"",7,"")</f>
        <v/>
      </c>
      <c r="B10" s="12"/>
      <c r="C10" s="12"/>
      <c r="D10" s="48"/>
      <c r="E10" s="48"/>
      <c r="F10" s="49"/>
      <c r="G10" s="50"/>
      <c r="H10" s="12"/>
      <c r="I10" s="12"/>
    </row>
    <row r="11" spans="1:9" ht="36" customHeight="1" x14ac:dyDescent="0.3">
      <c r="A11" s="51" t="str">
        <f>IF(B11&lt;&gt;"",8,"")</f>
        <v/>
      </c>
      <c r="B11" s="21"/>
      <c r="C11" s="21"/>
      <c r="D11" s="52"/>
      <c r="E11" s="52"/>
      <c r="F11" s="49"/>
      <c r="G11" s="50"/>
      <c r="H11" s="21"/>
      <c r="I11" s="21"/>
    </row>
    <row r="12" spans="1:9" ht="36" customHeight="1" x14ac:dyDescent="0.3">
      <c r="A12" s="47" t="str">
        <f>IF(B12&lt;&gt;"",9,"")</f>
        <v/>
      </c>
      <c r="B12" s="12"/>
      <c r="C12" s="12"/>
      <c r="D12" s="48"/>
      <c r="E12" s="48"/>
      <c r="F12" s="49"/>
      <c r="G12" s="50"/>
      <c r="H12" s="12"/>
      <c r="I12" s="12"/>
    </row>
    <row r="13" spans="1:9" ht="36" customHeight="1" x14ac:dyDescent="0.3">
      <c r="A13" s="51" t="str">
        <f>IF(B13&lt;&gt;"",10,"")</f>
        <v/>
      </c>
      <c r="B13" s="21"/>
      <c r="C13" s="21"/>
      <c r="D13" s="52"/>
      <c r="E13" s="52"/>
      <c r="F13" s="49"/>
      <c r="G13" s="50"/>
      <c r="H13" s="21"/>
      <c r="I13" s="21"/>
    </row>
    <row r="14" spans="1:9" ht="36" customHeight="1" x14ac:dyDescent="0.3">
      <c r="A14" s="47" t="str">
        <f>IF(B14&lt;&gt;"",11,"")</f>
        <v/>
      </c>
      <c r="B14" s="12"/>
      <c r="C14" s="12"/>
      <c r="D14" s="48"/>
      <c r="E14" s="48"/>
      <c r="F14" s="49"/>
      <c r="G14" s="50"/>
      <c r="H14" s="12"/>
      <c r="I14" s="12"/>
    </row>
    <row r="15" spans="1:9" ht="36" customHeight="1" x14ac:dyDescent="0.3">
      <c r="A15" s="51" t="str">
        <f>IF(B15&lt;&gt;"",12,"")</f>
        <v/>
      </c>
      <c r="B15" s="21"/>
      <c r="C15" s="21"/>
      <c r="D15" s="52"/>
      <c r="E15" s="52"/>
      <c r="F15" s="49"/>
      <c r="G15" s="50"/>
      <c r="H15" s="21"/>
      <c r="I15" s="21"/>
    </row>
    <row r="16" spans="1:9" ht="36" customHeight="1" x14ac:dyDescent="0.3">
      <c r="A16" s="47" t="str">
        <f>IF(B16&lt;&gt;"",13,"")</f>
        <v/>
      </c>
      <c r="B16" s="12"/>
      <c r="C16" s="12"/>
      <c r="D16" s="48"/>
      <c r="E16" s="48"/>
      <c r="F16" s="49"/>
      <c r="G16" s="50"/>
      <c r="H16" s="12"/>
      <c r="I16" s="12"/>
    </row>
    <row r="17" spans="1:9" ht="36" customHeight="1" x14ac:dyDescent="0.3">
      <c r="A17" s="51" t="str">
        <f>IF(B17&lt;&gt;"",14,"")</f>
        <v/>
      </c>
      <c r="B17" s="21"/>
      <c r="C17" s="21"/>
      <c r="D17" s="52"/>
      <c r="E17" s="52"/>
      <c r="F17" s="49"/>
      <c r="G17" s="50"/>
      <c r="H17" s="21"/>
      <c r="I17" s="21"/>
    </row>
    <row r="18" spans="1:9" ht="36" customHeight="1" x14ac:dyDescent="0.3">
      <c r="A18" s="47" t="str">
        <f>IF(B18&lt;&gt;"",15,"")</f>
        <v/>
      </c>
      <c r="B18" s="12"/>
      <c r="C18" s="12"/>
      <c r="D18" s="48"/>
      <c r="E18" s="48"/>
      <c r="F18" s="49"/>
      <c r="G18" s="50"/>
      <c r="H18" s="12"/>
      <c r="I18" s="12"/>
    </row>
    <row r="19" spans="1:9" ht="36" customHeight="1" x14ac:dyDescent="0.3">
      <c r="A19" s="51" t="str">
        <f>IF(B19&lt;&gt;"",16,"")</f>
        <v/>
      </c>
      <c r="B19" s="21"/>
      <c r="C19" s="21"/>
      <c r="D19" s="52"/>
      <c r="E19" s="52"/>
      <c r="F19" s="49"/>
      <c r="G19" s="50"/>
      <c r="H19" s="21"/>
      <c r="I19" s="21"/>
    </row>
    <row r="20" spans="1:9" ht="36" customHeight="1" x14ac:dyDescent="0.3">
      <c r="A20" s="47" t="str">
        <f>IF(B20&lt;&gt;"",17,"")</f>
        <v/>
      </c>
      <c r="B20" s="12"/>
      <c r="C20" s="12"/>
      <c r="D20" s="48"/>
      <c r="E20" s="48"/>
      <c r="F20" s="49"/>
      <c r="G20" s="50"/>
      <c r="H20" s="12"/>
      <c r="I20" s="12"/>
    </row>
    <row r="21" spans="1:9" ht="36" customHeight="1" x14ac:dyDescent="0.3">
      <c r="A21" s="51" t="str">
        <f>IF(B21&lt;&gt;"",18,"")</f>
        <v/>
      </c>
      <c r="B21" s="21"/>
      <c r="C21" s="21"/>
      <c r="D21" s="52"/>
      <c r="E21" s="52"/>
      <c r="F21" s="49"/>
      <c r="G21" s="50"/>
      <c r="H21" s="21"/>
      <c r="I21" s="21"/>
    </row>
    <row r="22" spans="1:9" ht="36" customHeight="1" x14ac:dyDescent="0.3">
      <c r="A22" s="47" t="str">
        <f>IF(B22&lt;&gt;"",19,"")</f>
        <v/>
      </c>
      <c r="B22" s="12"/>
      <c r="C22" s="12"/>
      <c r="D22" s="48"/>
      <c r="E22" s="48"/>
      <c r="F22" s="49"/>
      <c r="G22" s="50"/>
      <c r="H22" s="12"/>
      <c r="I22" s="12"/>
    </row>
    <row r="23" spans="1:9" ht="36" customHeight="1" x14ac:dyDescent="0.3">
      <c r="A23" s="51" t="str">
        <f>IF(B23&lt;&gt;"",20,"")</f>
        <v/>
      </c>
      <c r="B23" s="21"/>
      <c r="C23" s="21"/>
      <c r="D23" s="52"/>
      <c r="E23" s="52"/>
      <c r="F23" s="49"/>
      <c r="G23" s="50"/>
      <c r="H23" s="21"/>
      <c r="I23" s="21"/>
    </row>
    <row r="24" spans="1:9" ht="36" customHeight="1" x14ac:dyDescent="0.3">
      <c r="A24" s="47" t="str">
        <f>IF(B24&lt;&gt;"",21,"")</f>
        <v/>
      </c>
      <c r="B24" s="12"/>
      <c r="C24" s="12"/>
      <c r="D24" s="48"/>
      <c r="E24" s="48"/>
      <c r="F24" s="49"/>
      <c r="G24" s="50"/>
      <c r="H24" s="12"/>
      <c r="I24" s="12"/>
    </row>
    <row r="25" spans="1:9" ht="36" customHeight="1" x14ac:dyDescent="0.3">
      <c r="A25" s="51" t="str">
        <f>IF(B25&lt;&gt;"",22,"")</f>
        <v/>
      </c>
      <c r="B25" s="21"/>
      <c r="C25" s="21"/>
      <c r="D25" s="52"/>
      <c r="E25" s="52"/>
      <c r="F25" s="49"/>
      <c r="G25" s="50"/>
      <c r="H25" s="21"/>
      <c r="I25" s="21"/>
    </row>
    <row r="26" spans="1:9" ht="36" customHeight="1" x14ac:dyDescent="0.3">
      <c r="A26" s="47" t="str">
        <f>IF(B26&lt;&gt;"",23,"")</f>
        <v/>
      </c>
      <c r="B26" s="12"/>
      <c r="C26" s="12"/>
      <c r="D26" s="48"/>
      <c r="E26" s="48"/>
      <c r="F26" s="49"/>
      <c r="G26" s="50"/>
      <c r="H26" s="12"/>
      <c r="I26" s="12"/>
    </row>
    <row r="27" spans="1:9" ht="36" customHeight="1" x14ac:dyDescent="0.3">
      <c r="A27" s="51" t="str">
        <f>IF(B27&lt;&gt;"",24,"")</f>
        <v/>
      </c>
      <c r="B27" s="21"/>
      <c r="C27" s="21"/>
      <c r="D27" s="52"/>
      <c r="E27" s="52"/>
      <c r="F27" s="49"/>
      <c r="G27" s="50"/>
      <c r="H27" s="21"/>
      <c r="I27" s="21"/>
    </row>
    <row r="28" spans="1:9" ht="36" customHeight="1" x14ac:dyDescent="0.3">
      <c r="A28" s="47" t="str">
        <f>IF(B28&lt;&gt;"",25,"")</f>
        <v/>
      </c>
      <c r="B28" s="12"/>
      <c r="C28" s="12"/>
      <c r="D28" s="48"/>
      <c r="E28" s="48"/>
      <c r="F28" s="49"/>
      <c r="G28" s="50"/>
      <c r="H28" s="12"/>
      <c r="I28" s="12"/>
    </row>
    <row r="29" spans="1:9" ht="36" customHeight="1" x14ac:dyDescent="0.3">
      <c r="A29" s="51" t="str">
        <f>IF(B29&lt;&gt;"",26,"")</f>
        <v/>
      </c>
      <c r="B29" s="21"/>
      <c r="C29" s="21"/>
      <c r="D29" s="52"/>
      <c r="E29" s="52"/>
      <c r="F29" s="49"/>
      <c r="G29" s="50"/>
      <c r="H29" s="21"/>
      <c r="I29" s="21"/>
    </row>
    <row r="30" spans="1:9" ht="36" customHeight="1" x14ac:dyDescent="0.3">
      <c r="A30" s="47" t="str">
        <f>IF(B30&lt;&gt;"",27,"")</f>
        <v/>
      </c>
      <c r="B30" s="12"/>
      <c r="C30" s="12"/>
      <c r="D30" s="48"/>
      <c r="E30" s="48"/>
      <c r="F30" s="49"/>
      <c r="G30" s="50"/>
      <c r="H30" s="12"/>
      <c r="I30" s="12"/>
    </row>
    <row r="31" spans="1:9" ht="36" customHeight="1" x14ac:dyDescent="0.3">
      <c r="A31" s="51" t="str">
        <f>IF(B31&lt;&gt;"",28,"")</f>
        <v/>
      </c>
      <c r="B31" s="21"/>
      <c r="C31" s="21"/>
      <c r="D31" s="52"/>
      <c r="E31" s="52"/>
      <c r="F31" s="49"/>
      <c r="G31" s="50"/>
      <c r="H31" s="21"/>
      <c r="I31" s="21"/>
    </row>
    <row r="32" spans="1:9" ht="36" customHeight="1" x14ac:dyDescent="0.3">
      <c r="A32" s="47" t="str">
        <f>IF(B32&lt;&gt;"",29,"")</f>
        <v/>
      </c>
      <c r="B32" s="12"/>
      <c r="C32" s="12"/>
      <c r="D32" s="48"/>
      <c r="E32" s="48"/>
      <c r="F32" s="49"/>
      <c r="G32" s="50"/>
      <c r="H32" s="12"/>
      <c r="I32" s="12"/>
    </row>
    <row r="33" spans="1:9" ht="36" customHeight="1" x14ac:dyDescent="0.3">
      <c r="A33" s="51" t="str">
        <f>IF(B33&lt;&gt;"",30,"")</f>
        <v/>
      </c>
      <c r="B33" s="21"/>
      <c r="C33" s="21"/>
      <c r="D33" s="52"/>
      <c r="E33" s="52"/>
      <c r="F33" s="49"/>
      <c r="G33" s="50"/>
      <c r="H33" s="21"/>
      <c r="I33" s="21"/>
    </row>
    <row r="34" spans="1:9" ht="36" customHeight="1" x14ac:dyDescent="0.3">
      <c r="A34" s="47" t="str">
        <f>IF(B34&lt;&gt;"",31,"")</f>
        <v/>
      </c>
      <c r="B34" s="12"/>
      <c r="C34" s="12"/>
      <c r="D34" s="48"/>
      <c r="E34" s="48"/>
      <c r="F34" s="49"/>
      <c r="G34" s="50"/>
      <c r="H34" s="12"/>
      <c r="I34" s="12"/>
    </row>
    <row r="35" spans="1:9" ht="36" customHeight="1" x14ac:dyDescent="0.3">
      <c r="A35" s="51" t="str">
        <f>IF(B35&lt;&gt;"",32,"")</f>
        <v/>
      </c>
      <c r="B35" s="21"/>
      <c r="C35" s="21"/>
      <c r="D35" s="52"/>
      <c r="E35" s="52"/>
      <c r="F35" s="49"/>
      <c r="G35" s="50"/>
      <c r="H35" s="21"/>
      <c r="I35" s="21"/>
    </row>
    <row r="36" spans="1:9" ht="36" customHeight="1" x14ac:dyDescent="0.3">
      <c r="A36" s="47" t="str">
        <f>IF(B36&lt;&gt;"",33,"")</f>
        <v/>
      </c>
      <c r="B36" s="12"/>
      <c r="C36" s="12"/>
      <c r="D36" s="48"/>
      <c r="E36" s="48"/>
      <c r="F36" s="49"/>
      <c r="G36" s="50"/>
      <c r="H36" s="12"/>
      <c r="I36" s="12"/>
    </row>
    <row r="37" spans="1:9" ht="36" customHeight="1" x14ac:dyDescent="0.3">
      <c r="A37" s="51" t="str">
        <f>IF(B37&lt;&gt;"",34,"")</f>
        <v/>
      </c>
      <c r="B37" s="21"/>
      <c r="C37" s="21"/>
      <c r="D37" s="52"/>
      <c r="E37" s="52"/>
      <c r="F37" s="49"/>
      <c r="G37" s="50"/>
      <c r="H37" s="21"/>
      <c r="I37" s="21"/>
    </row>
    <row r="38" spans="1:9" ht="36" customHeight="1" x14ac:dyDescent="0.3">
      <c r="A38" s="47" t="str">
        <f>IF(B38&lt;&gt;"",35,"")</f>
        <v/>
      </c>
      <c r="B38" s="12"/>
      <c r="C38" s="12"/>
      <c r="D38" s="48"/>
      <c r="E38" s="48"/>
      <c r="F38" s="49"/>
      <c r="G38" s="50"/>
      <c r="H38" s="12"/>
      <c r="I38" s="12"/>
    </row>
    <row r="39" spans="1:9" ht="36" customHeight="1" x14ac:dyDescent="0.3">
      <c r="A39" s="51" t="str">
        <f>IF(B39&lt;&gt;"",36,"")</f>
        <v/>
      </c>
      <c r="B39" s="21"/>
      <c r="C39" s="21"/>
      <c r="D39" s="52"/>
      <c r="E39" s="52"/>
      <c r="F39" s="49"/>
      <c r="G39" s="50"/>
      <c r="H39" s="21"/>
      <c r="I39" s="21"/>
    </row>
    <row r="40" spans="1:9" ht="36" customHeight="1" x14ac:dyDescent="0.3">
      <c r="A40" s="47" t="str">
        <f>IF(B40&lt;&gt;"",37,"")</f>
        <v/>
      </c>
      <c r="B40" s="12"/>
      <c r="C40" s="12"/>
      <c r="D40" s="48"/>
      <c r="E40" s="48"/>
      <c r="F40" s="49"/>
      <c r="G40" s="50"/>
      <c r="H40" s="12"/>
      <c r="I40" s="12"/>
    </row>
    <row r="41" spans="1:9" ht="36" customHeight="1" x14ac:dyDescent="0.3">
      <c r="A41" s="51" t="str">
        <f>IF(B41&lt;&gt;"",38,"")</f>
        <v/>
      </c>
      <c r="B41" s="21"/>
      <c r="C41" s="21"/>
      <c r="D41" s="52"/>
      <c r="E41" s="52"/>
      <c r="F41" s="49"/>
      <c r="G41" s="50"/>
      <c r="H41" s="21"/>
      <c r="I41" s="21"/>
    </row>
    <row r="42" spans="1:9" ht="36" customHeight="1" x14ac:dyDescent="0.3">
      <c r="A42" s="47" t="str">
        <f>IF(B42&lt;&gt;"",39,"")</f>
        <v/>
      </c>
      <c r="B42" s="12"/>
      <c r="C42" s="12"/>
      <c r="D42" s="48"/>
      <c r="E42" s="48"/>
      <c r="F42" s="49"/>
      <c r="G42" s="50"/>
      <c r="H42" s="12"/>
      <c r="I42" s="12"/>
    </row>
    <row r="43" spans="1:9" ht="36" customHeight="1" x14ac:dyDescent="0.3">
      <c r="A43" s="51" t="str">
        <f>IF(B43&lt;&gt;"",40,"")</f>
        <v/>
      </c>
      <c r="B43" s="21"/>
      <c r="C43" s="21"/>
      <c r="D43" s="52"/>
      <c r="E43" s="52"/>
      <c r="F43" s="49"/>
      <c r="G43" s="50"/>
      <c r="H43" s="21"/>
      <c r="I43" s="21"/>
    </row>
    <row r="44" spans="1:9" ht="36" customHeight="1" x14ac:dyDescent="0.3">
      <c r="A44" s="47" t="str">
        <f>IF(B44&lt;&gt;"",41,"")</f>
        <v/>
      </c>
      <c r="B44" s="12"/>
      <c r="C44" s="12"/>
      <c r="D44" s="48"/>
      <c r="E44" s="48"/>
      <c r="F44" s="49"/>
      <c r="G44" s="50"/>
      <c r="H44" s="12"/>
      <c r="I44" s="12"/>
    </row>
    <row r="45" spans="1:9" ht="36" customHeight="1" x14ac:dyDescent="0.3">
      <c r="A45" s="51" t="str">
        <f>IF(B45&lt;&gt;"",42,"")</f>
        <v/>
      </c>
      <c r="B45" s="21"/>
      <c r="C45" s="21"/>
      <c r="D45" s="52"/>
      <c r="E45" s="52"/>
      <c r="F45" s="49"/>
      <c r="G45" s="50"/>
      <c r="H45" s="21"/>
      <c r="I45" s="21"/>
    </row>
    <row r="46" spans="1:9" ht="36" customHeight="1" x14ac:dyDescent="0.3">
      <c r="A46" s="47" t="str">
        <f>IF(B46&lt;&gt;"",43,"")</f>
        <v/>
      </c>
      <c r="B46" s="12"/>
      <c r="C46" s="12"/>
      <c r="D46" s="48"/>
      <c r="E46" s="48"/>
      <c r="F46" s="49"/>
      <c r="G46" s="50"/>
      <c r="H46" s="12"/>
      <c r="I46" s="12"/>
    </row>
    <row r="47" spans="1:9" ht="36" customHeight="1" x14ac:dyDescent="0.3">
      <c r="A47" s="51" t="str">
        <f>IF(B47&lt;&gt;"",44,"")</f>
        <v/>
      </c>
      <c r="B47" s="21"/>
      <c r="C47" s="21"/>
      <c r="D47" s="52"/>
      <c r="E47" s="52"/>
      <c r="F47" s="49"/>
      <c r="G47" s="50"/>
      <c r="H47" s="21"/>
      <c r="I47" s="21"/>
    </row>
    <row r="48" spans="1:9" ht="36" customHeight="1" x14ac:dyDescent="0.3">
      <c r="A48" s="47" t="str">
        <f>IF(B48&lt;&gt;"",45,"")</f>
        <v/>
      </c>
      <c r="B48" s="12"/>
      <c r="C48" s="12"/>
      <c r="D48" s="48"/>
      <c r="E48" s="48"/>
      <c r="F48" s="49"/>
      <c r="G48" s="50"/>
      <c r="H48" s="12"/>
      <c r="I48" s="12"/>
    </row>
    <row r="49" spans="1:9" ht="36" customHeight="1" x14ac:dyDescent="0.3">
      <c r="A49" s="51" t="str">
        <f>IF(B49&lt;&gt;"",46,"")</f>
        <v/>
      </c>
      <c r="B49" s="21"/>
      <c r="C49" s="21"/>
      <c r="D49" s="52"/>
      <c r="E49" s="52"/>
      <c r="F49" s="49"/>
      <c r="G49" s="50"/>
      <c r="H49" s="21"/>
      <c r="I49" s="21"/>
    </row>
    <row r="50" spans="1:9" ht="36" customHeight="1" x14ac:dyDescent="0.3">
      <c r="A50" s="47" t="str">
        <f>IF(B50&lt;&gt;"",47,"")</f>
        <v/>
      </c>
      <c r="B50" s="12"/>
      <c r="C50" s="12"/>
      <c r="D50" s="48"/>
      <c r="E50" s="48"/>
      <c r="F50" s="49"/>
      <c r="G50" s="50"/>
      <c r="H50" s="12"/>
      <c r="I50" s="12"/>
    </row>
    <row r="51" spans="1:9" ht="36" customHeight="1" x14ac:dyDescent="0.3">
      <c r="A51" s="51" t="str">
        <f>IF(B51&lt;&gt;"",48,"")</f>
        <v/>
      </c>
      <c r="B51" s="21"/>
      <c r="C51" s="21"/>
      <c r="D51" s="52"/>
      <c r="E51" s="52"/>
      <c r="F51" s="49"/>
      <c r="G51" s="50"/>
      <c r="H51" s="21"/>
      <c r="I51" s="21"/>
    </row>
    <row r="52" spans="1:9" ht="36" customHeight="1" x14ac:dyDescent="0.3">
      <c r="A52" s="47" t="str">
        <f>IF(B52&lt;&gt;"",49,"")</f>
        <v/>
      </c>
      <c r="B52" s="12"/>
      <c r="C52" s="12"/>
      <c r="D52" s="48"/>
      <c r="E52" s="48"/>
      <c r="F52" s="49"/>
      <c r="G52" s="50"/>
      <c r="H52" s="12"/>
      <c r="I52" s="12"/>
    </row>
    <row r="53" spans="1:9" ht="36" customHeight="1" x14ac:dyDescent="0.3">
      <c r="A53" s="51" t="str">
        <f>IF(B53&lt;&gt;"",50,"")</f>
        <v/>
      </c>
      <c r="B53" s="21"/>
      <c r="C53" s="21"/>
      <c r="D53" s="52"/>
      <c r="E53" s="52"/>
      <c r="F53" s="49"/>
      <c r="G53" s="50"/>
      <c r="H53" s="21"/>
      <c r="I53" s="21"/>
    </row>
  </sheetData>
  <autoFilter ref="A3:I53" xr:uid="{00000000-0009-0000-0000-000002000000}"/>
  <mergeCells count="2">
    <mergeCell ref="A1:I1"/>
    <mergeCell ref="A2:I2"/>
  </mergeCells>
  <dataValidations count="3">
    <dataValidation type="list" sqref="F4:F200" xr:uid="{00000000-0002-0000-0200-000000000000}">
      <formula1>"BUG,EVOLUTION,QUESTION,BLOCANT"</formula1>
      <formula2>0</formula2>
    </dataValidation>
    <dataValidation type="list" sqref="G4:G200" xr:uid="{00000000-0002-0000-0200-000001000000}">
      <formula1>"BLOQUANT,HAUTE,NORMALE,BASSE"</formula1>
      <formula2>0</formula2>
    </dataValidation>
    <dataValidation type="list" sqref="H4:H200" xr:uid="{00000000-0002-0000-0200-000002000000}">
      <formula1>"OUVERT,EN COURS,CORRIGE,REPORTE,INVALIDE"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565C0"/>
  </sheetPr>
  <dimension ref="A1:C33"/>
  <sheetViews>
    <sheetView showGridLines="0" topLeftCell="A18" zoomScaleNormal="100" workbookViewId="0">
      <selection activeCell="L15" sqref="L15"/>
    </sheetView>
  </sheetViews>
  <sheetFormatPr baseColWidth="10" defaultColWidth="8.6640625" defaultRowHeight="14.4" x14ac:dyDescent="0.3"/>
  <cols>
    <col min="1" max="1" width="5" customWidth="1"/>
    <col min="2" max="2" width="33.77734375" bestFit="1" customWidth="1"/>
    <col min="3" max="3" width="57.109375" bestFit="1" customWidth="1"/>
  </cols>
  <sheetData>
    <row r="1" spans="1:3" ht="31.5" customHeight="1" x14ac:dyDescent="0.3">
      <c r="A1" s="2" t="s">
        <v>425</v>
      </c>
      <c r="B1" s="2"/>
      <c r="C1" s="2"/>
    </row>
    <row r="2" spans="1:3" ht="7.5" customHeight="1" x14ac:dyDescent="0.3"/>
    <row r="3" spans="1:3" ht="21.75" customHeight="1" x14ac:dyDescent="0.3">
      <c r="A3" s="1" t="s">
        <v>426</v>
      </c>
      <c r="B3" s="1"/>
      <c r="C3" s="1"/>
    </row>
    <row r="4" spans="1:3" ht="18" customHeight="1" x14ac:dyDescent="0.3">
      <c r="B4" s="53" t="s">
        <v>427</v>
      </c>
      <c r="C4" s="54" t="s">
        <v>428</v>
      </c>
    </row>
    <row r="5" spans="1:3" ht="18" customHeight="1" x14ac:dyDescent="0.3">
      <c r="B5" s="53" t="s">
        <v>429</v>
      </c>
      <c r="C5" s="54" t="s">
        <v>430</v>
      </c>
    </row>
    <row r="6" spans="1:3" ht="18" customHeight="1" x14ac:dyDescent="0.3">
      <c r="B6" s="53" t="s">
        <v>431</v>
      </c>
      <c r="C6" s="54" t="s">
        <v>432</v>
      </c>
    </row>
    <row r="7" spans="1:3" ht="18" customHeight="1" x14ac:dyDescent="0.3">
      <c r="B7" s="53" t="s">
        <v>433</v>
      </c>
      <c r="C7" s="54" t="s">
        <v>434</v>
      </c>
    </row>
    <row r="8" spans="1:3" ht="18" customHeight="1" x14ac:dyDescent="0.3">
      <c r="B8" s="53" t="s">
        <v>435</v>
      </c>
      <c r="C8" s="54" t="s">
        <v>436</v>
      </c>
    </row>
    <row r="9" spans="1:3" ht="18" customHeight="1" x14ac:dyDescent="0.3">
      <c r="B9" s="53" t="s">
        <v>437</v>
      </c>
      <c r="C9" s="54" t="s">
        <v>438</v>
      </c>
    </row>
    <row r="10" spans="1:3" ht="18" customHeight="1" x14ac:dyDescent="0.3">
      <c r="B10" s="53" t="s">
        <v>439</v>
      </c>
      <c r="C10" s="54" t="s">
        <v>440</v>
      </c>
    </row>
    <row r="11" spans="1:3" ht="18" customHeight="1" x14ac:dyDescent="0.3">
      <c r="B11" s="53" t="s">
        <v>441</v>
      </c>
      <c r="C11" s="54" t="s">
        <v>442</v>
      </c>
    </row>
    <row r="12" spans="1:3" ht="7.5" customHeight="1" x14ac:dyDescent="0.3"/>
    <row r="13" spans="1:3" ht="21.75" customHeight="1" x14ac:dyDescent="0.3">
      <c r="A13" s="1" t="s">
        <v>443</v>
      </c>
      <c r="B13" s="1"/>
      <c r="C13" s="1"/>
    </row>
    <row r="14" spans="1:3" ht="18" customHeight="1" x14ac:dyDescent="0.3">
      <c r="B14" s="53" t="s">
        <v>444</v>
      </c>
      <c r="C14" s="54" t="s">
        <v>445</v>
      </c>
    </row>
    <row r="15" spans="1:3" ht="18" customHeight="1" x14ac:dyDescent="0.3">
      <c r="B15" s="53" t="s">
        <v>9</v>
      </c>
      <c r="C15" s="54" t="s">
        <v>446</v>
      </c>
    </row>
    <row r="16" spans="1:3" ht="18" customHeight="1" x14ac:dyDescent="0.3">
      <c r="B16" s="53" t="s">
        <v>447</v>
      </c>
      <c r="C16" s="54" t="s">
        <v>448</v>
      </c>
    </row>
    <row r="17" spans="1:3" ht="7.5" customHeight="1" x14ac:dyDescent="0.3"/>
    <row r="18" spans="1:3" ht="21.75" customHeight="1" x14ac:dyDescent="0.3">
      <c r="A18" s="1" t="s">
        <v>449</v>
      </c>
      <c r="B18" s="1"/>
      <c r="C18" s="1"/>
    </row>
    <row r="19" spans="1:3" ht="18" customHeight="1" x14ac:dyDescent="0.3">
      <c r="B19" s="53" t="s">
        <v>68</v>
      </c>
      <c r="C19" s="54" t="s">
        <v>450</v>
      </c>
    </row>
    <row r="20" spans="1:3" ht="18" customHeight="1" x14ac:dyDescent="0.3">
      <c r="B20" s="53" t="s">
        <v>77</v>
      </c>
      <c r="C20" s="54" t="s">
        <v>451</v>
      </c>
    </row>
    <row r="21" spans="1:3" ht="18" customHeight="1" x14ac:dyDescent="0.3">
      <c r="B21" s="53" t="s">
        <v>86</v>
      </c>
      <c r="C21" s="54" t="s">
        <v>452</v>
      </c>
    </row>
    <row r="22" spans="1:3" ht="18" customHeight="1" x14ac:dyDescent="0.3">
      <c r="B22" s="53" t="s">
        <v>453</v>
      </c>
      <c r="C22" s="54" t="s">
        <v>454</v>
      </c>
    </row>
    <row r="23" spans="1:3" ht="7.5" customHeight="1" x14ac:dyDescent="0.3"/>
    <row r="24" spans="1:3" ht="21.75" customHeight="1" x14ac:dyDescent="0.3">
      <c r="A24" s="1" t="s">
        <v>455</v>
      </c>
      <c r="B24" s="1"/>
      <c r="C24" s="1"/>
    </row>
    <row r="25" spans="1:3" ht="18" customHeight="1" x14ac:dyDescent="0.3">
      <c r="B25" s="53" t="s">
        <v>456</v>
      </c>
      <c r="C25" s="54" t="s">
        <v>457</v>
      </c>
    </row>
    <row r="26" spans="1:3" ht="18" customHeight="1" x14ac:dyDescent="0.3">
      <c r="B26" s="53" t="s">
        <v>458</v>
      </c>
      <c r="C26" s="54" t="s">
        <v>459</v>
      </c>
    </row>
    <row r="27" spans="1:3" ht="18" customHeight="1" x14ac:dyDescent="0.3">
      <c r="B27" s="53" t="s">
        <v>460</v>
      </c>
      <c r="C27" s="54" t="s">
        <v>461</v>
      </c>
    </row>
    <row r="28" spans="1:3" ht="18" customHeight="1" x14ac:dyDescent="0.3">
      <c r="B28" s="53" t="s">
        <v>462</v>
      </c>
      <c r="C28" s="54" t="s">
        <v>463</v>
      </c>
    </row>
    <row r="29" spans="1:3" ht="7.5" customHeight="1" x14ac:dyDescent="0.3"/>
    <row r="30" spans="1:3" ht="21.75" customHeight="1" x14ac:dyDescent="0.3">
      <c r="A30" s="1" t="s">
        <v>464</v>
      </c>
      <c r="B30" s="1"/>
      <c r="C30" s="1"/>
    </row>
    <row r="31" spans="1:3" ht="18" customHeight="1" x14ac:dyDescent="0.3">
      <c r="B31" s="53" t="s">
        <v>465</v>
      </c>
      <c r="C31" s="54" t="s">
        <v>466</v>
      </c>
    </row>
    <row r="32" spans="1:3" ht="18" customHeight="1" x14ac:dyDescent="0.3">
      <c r="B32" s="53" t="s">
        <v>467</v>
      </c>
      <c r="C32" s="54" t="s">
        <v>468</v>
      </c>
    </row>
    <row r="33" spans="2:3" ht="18" customHeight="1" x14ac:dyDescent="0.3">
      <c r="B33" s="53" t="s">
        <v>469</v>
      </c>
      <c r="C33" s="54" t="s">
        <v>470</v>
      </c>
    </row>
  </sheetData>
  <mergeCells count="6">
    <mergeCell ref="A30:C30"/>
    <mergeCell ref="A1:C1"/>
    <mergeCell ref="A3:C3"/>
    <mergeCell ref="A13:C13"/>
    <mergeCell ref="A18:C18"/>
    <mergeCell ref="A24:C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📊 Tableau de Bord</vt:lpstr>
      <vt:lpstr>🧪 Tests</vt:lpstr>
      <vt:lpstr>🐛 Bugs &amp; Évolutions</vt:lpstr>
      <vt:lpstr>📘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MABIKA Mecene</cp:lastModifiedBy>
  <cp:revision>0</cp:revision>
  <dcterms:created xsi:type="dcterms:W3CDTF">2026-03-23T21:04:26Z</dcterms:created>
  <dcterms:modified xsi:type="dcterms:W3CDTF">2026-03-23T21:20:16Z</dcterms:modified>
  <dc:language>en-US</dc:language>
</cp:coreProperties>
</file>