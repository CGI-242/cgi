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xmlns:r="http://schemas.openxmlformats.org/officeDocument/2006/relationships" name="📊 Tableau de Bord" sheetId="1" state="visible" r:id="rId1"/>
    <sheet xmlns:r="http://schemas.openxmlformats.org/officeDocument/2006/relationships" name="🧪 Tests" sheetId="2" state="visible" r:id="rId2"/>
    <sheet xmlns:r="http://schemas.openxmlformats.org/officeDocument/2006/relationships" name="🐛 Bugs &amp; Évolutions" sheetId="3" state="visible" r:id="rId3"/>
    <sheet xmlns:r="http://schemas.openxmlformats.org/officeDocument/2006/relationships" name="📘 Guide" sheetId="4" state="visible" r:id="rId4"/>
  </sheets>
  <definedNames>
    <definedName name="_xlnm._FilterDatabase" localSheetId="1" hidden="1">'🧪 Tests'!$A$3:$K$90</definedName>
    <definedName name="_xlnm._FilterDatabase" localSheetId="2" hidden="1">'🐛 Bugs &amp; Évolutions'!$A$3:$I$53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2"/>
      <color theme="1"/>
      <sz val="11"/>
    </font>
    <font>
      <name val="Arial"/>
      <charset val="1"/>
      <b val="1"/>
      <color rgb="FFFFFFFF"/>
      <sz val="18"/>
    </font>
    <font>
      <name val="Arial"/>
      <charset val="1"/>
      <i val="1"/>
      <color rgb="FFC8A03C"/>
      <sz val="10"/>
    </font>
    <font>
      <name val="Arial"/>
      <charset val="1"/>
      <b val="1"/>
      <color rgb="FFFFFFFF"/>
      <sz val="10"/>
    </font>
    <font>
      <name val="Arial"/>
      <charset val="1"/>
      <b val="1"/>
      <color rgb="FF1A1A2E"/>
      <sz val="10"/>
    </font>
    <font>
      <name val="Arial"/>
      <charset val="1"/>
      <sz val="14"/>
    </font>
    <font>
      <name val="Arial"/>
      <charset val="1"/>
      <b val="1"/>
      <color rgb="FF1B5E20"/>
      <sz val="10"/>
    </font>
    <font>
      <name val="Arial"/>
      <charset val="1"/>
      <b val="1"/>
      <color rgb="FFB71C1C"/>
      <sz val="10"/>
    </font>
    <font>
      <name val="Arial"/>
      <charset val="1"/>
      <b val="1"/>
      <color rgb="FFF57F17"/>
      <sz val="10"/>
    </font>
    <font>
      <name val="Arial"/>
      <charset val="1"/>
      <b val="1"/>
      <sz val="10"/>
    </font>
    <font>
      <name val="Arial"/>
      <charset val="1"/>
      <color rgb="FFFFFFFF"/>
      <sz val="8"/>
    </font>
    <font>
      <name val="Arial"/>
      <charset val="1"/>
      <b val="1"/>
      <color rgb="FFFFFFFF"/>
      <sz val="11"/>
    </font>
    <font>
      <name val="Arial"/>
      <charset val="1"/>
      <b val="1"/>
      <color rgb="FF0D47A1"/>
      <sz val="10"/>
    </font>
    <font>
      <name val="Arial"/>
      <charset val="1"/>
      <color rgb="FF444444"/>
      <sz val="9"/>
    </font>
    <font>
      <name val="Arial"/>
      <charset val="1"/>
      <b val="1"/>
      <color rgb="FF757575"/>
      <sz val="10"/>
    </font>
    <font>
      <name val="Arial"/>
      <charset val="1"/>
      <b val="1"/>
      <color rgb="FFFFFFFF"/>
      <sz val="16"/>
    </font>
    <font>
      <name val="Arial"/>
      <charset val="1"/>
      <i val="1"/>
      <color rgb="FFC8A03C"/>
      <sz val="9"/>
    </font>
    <font>
      <name val="Arial"/>
      <charset val="1"/>
      <b val="1"/>
      <color rgb="FFFFFFFF"/>
      <sz val="9"/>
    </font>
    <font>
      <name val="Arial"/>
      <charset val="1"/>
      <b val="1"/>
      <color rgb="FF1A1A2E"/>
      <sz val="9"/>
    </font>
    <font>
      <name val="Arial"/>
      <charset val="1"/>
      <b val="1"/>
      <color rgb="FFC8A03C"/>
      <sz val="9"/>
    </font>
    <font>
      <name val="Arial"/>
      <charset val="1"/>
      <sz val="9"/>
    </font>
    <font>
      <name val="Arial"/>
      <charset val="1"/>
      <b val="1"/>
      <color rgb="FFB71C1C"/>
      <sz val="9"/>
    </font>
    <font>
      <name val="Arial"/>
      <charset val="1"/>
      <b val="1"/>
      <color rgb="FF0D47A1"/>
      <sz val="9"/>
    </font>
    <font>
      <name val="Arial"/>
      <charset val="1"/>
      <b val="1"/>
      <color rgb="FFE65100"/>
      <sz val="9"/>
    </font>
    <font>
      <name val="Arial"/>
      <charset val="1"/>
      <b val="1"/>
      <color rgb="FF1565C0"/>
      <sz val="9"/>
    </font>
    <font>
      <name val="Arial"/>
      <charset val="1"/>
      <b val="1"/>
      <color rgb="FFFFFFFF"/>
      <sz val="14"/>
    </font>
    <font>
      <name val="Arial"/>
      <charset val="1"/>
      <color rgb="FF888888"/>
      <sz val="9"/>
    </font>
    <font>
      <name val="Arial"/>
      <charset val="1"/>
      <color rgb="FF444444"/>
      <sz val="10"/>
    </font>
  </fonts>
  <fills count="17">
    <fill>
      <patternFill/>
    </fill>
    <fill>
      <patternFill patternType="gray125"/>
    </fill>
    <fill>
      <patternFill patternType="solid">
        <fgColor rgb="FF1A1A2E"/>
        <bgColor rgb="FF2A2A4E"/>
      </patternFill>
    </fill>
    <fill>
      <patternFill patternType="solid">
        <fgColor rgb="FF2A2A4E"/>
        <bgColor rgb="FF1A1A2E"/>
      </patternFill>
    </fill>
    <fill>
      <patternFill patternType="solid">
        <fgColor rgb="FFFFFFFF"/>
        <bgColor rgb="FFF8FFF8"/>
      </patternFill>
    </fill>
    <fill>
      <patternFill patternType="solid">
        <fgColor rgb="FFF5F5F7"/>
        <bgColor rgb="FFFFF8F8"/>
      </patternFill>
    </fill>
    <fill>
      <patternFill patternType="solid">
        <fgColor rgb="FFC8A03C"/>
        <bgColor rgb="FFF57F17"/>
      </patternFill>
    </fill>
    <fill>
      <patternFill patternType="solid">
        <fgColor rgb="FFE8E8EC"/>
        <bgColor rgb="FFEEEEEE"/>
      </patternFill>
    </fill>
    <fill>
      <patternFill patternType="solid">
        <fgColor rgb="FFE3F2FD"/>
        <bgColor rgb="FFEEEEEE"/>
      </patternFill>
    </fill>
    <fill>
      <patternFill patternType="solid">
        <fgColor rgb="FFC8E6C9"/>
        <bgColor rgb="FFCCCCCC"/>
      </patternFill>
    </fill>
    <fill>
      <patternFill patternType="solid">
        <fgColor rgb="FFFFCDD2"/>
        <bgColor rgb="FFFFE0E0"/>
      </patternFill>
    </fill>
    <fill>
      <patternFill patternType="solid">
        <fgColor rgb="FFFFF9C4"/>
        <bgColor rgb="FFFFF3E0"/>
      </patternFill>
    </fill>
    <fill>
      <patternFill patternType="solid">
        <fgColor rgb="FFEEEEEE"/>
        <bgColor rgb="FFE8E8EC"/>
      </patternFill>
    </fill>
    <fill>
      <patternFill patternType="solid">
        <fgColor rgb="FFFFE0E0"/>
        <bgColor rgb="FFE8E8EC"/>
      </patternFill>
    </fill>
    <fill>
      <patternFill patternType="solid">
        <fgColor rgb="FFFFF8F8"/>
        <bgColor rgb="FFFFFFFF"/>
      </patternFill>
    </fill>
    <fill>
      <patternFill patternType="solid">
        <fgColor rgb="FFF8FFF8"/>
        <bgColor rgb="FFFFFFFF"/>
      </patternFill>
    </fill>
    <fill>
      <patternFill patternType="solid">
        <fgColor rgb="FFFFF3E0"/>
        <bgColor rgb="FFFFF8F8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1" fillId="3" borderId="0" pivotButton="0" quotePrefix="0" xfId="0"/>
    <xf numFmtId="0" fontId="25" fillId="2" borderId="0" applyAlignment="1" pivotButton="0" quotePrefix="0" xfId="0">
      <alignment horizontal="center" vertical="center" wrapText="1"/>
    </xf>
    <xf numFmtId="0" fontId="16" fillId="3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left" vertical="center" wrapText="1"/>
    </xf>
    <xf numFmtId="0" fontId="4" fillId="7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0" fillId="4" borderId="0" pivotButton="0" quotePrefix="0" xfId="0"/>
    <xf numFmtId="0" fontId="4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left" vertical="center" wrapText="1"/>
    </xf>
    <xf numFmtId="0" fontId="21" fillId="13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center" vertical="center" wrapText="1"/>
    </xf>
    <xf numFmtId="0" fontId="20" fillId="14" borderId="1" applyAlignment="1" pivotButton="0" quotePrefix="0" xfId="0">
      <alignment horizontal="left" vertical="center" wrapText="1"/>
    </xf>
    <xf numFmtId="0" fontId="20" fillId="15" borderId="1" applyAlignment="1" pivotButton="0" quotePrefix="0" xfId="0">
      <alignment horizontal="left" vertical="center" wrapText="1"/>
    </xf>
    <xf numFmtId="0" fontId="23" fillId="16" borderId="1" applyAlignment="1" pivotButton="0" quotePrefix="0" xfId="0">
      <alignment horizontal="center" vertical="center" wrapText="1"/>
    </xf>
    <xf numFmtId="0" fontId="24" fillId="8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20" fillId="5" borderId="1" applyAlignment="1" pivotButton="0" quotePrefix="0" xfId="0">
      <alignment horizontal="left" vertical="center" wrapText="1"/>
    </xf>
    <xf numFmtId="0" fontId="20" fillId="5" borderId="1" applyAlignment="1" pivotButton="0" quotePrefix="0" xfId="0">
      <alignment horizontal="center" vertical="center" wrapText="1"/>
    </xf>
    <xf numFmtId="0" fontId="26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6" borderId="1" applyAlignment="1" pivotButton="0" quotePrefix="0" xfId="0">
      <alignment horizontal="center" vertical="center" wrapText="1"/>
    </xf>
    <xf numFmtId="0" fontId="26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27" fillId="0" borderId="0" pivotButton="0" quotePrefix="0" xfId="0"/>
    <xf numFmtId="0" fontId="18" fillId="4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left" vertical="center" wrapText="1"/>
    </xf>
    <xf numFmtId="0" fontId="0" fillId="0" borderId="4" pivotButton="0" quotePrefix="0" xfId="0"/>
  </cellXfs>
  <cellStyles count="1">
    <cellStyle name="Normal" xfId="0" builtinId="0"/>
  </cellStyles>
  <dxfs count="696"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757575"/>
        <sz val="9"/>
      </font>
      <fill>
        <patternFill>
          <bgColor rgb="FFEEEEEE"/>
        </patternFill>
      </fill>
    </dxf>
    <dxf>
      <font>
        <name val="Arial"/>
        <charset val="1"/>
        <color rgb="FFF57F17"/>
        <sz val="9"/>
      </font>
      <fill>
        <patternFill>
          <bgColor rgb="FFFFF9C4"/>
        </patternFill>
      </fill>
    </dxf>
    <dxf>
      <font>
        <name val="Arial"/>
        <charset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color rgb="FF1B5E20"/>
        <sz val="9"/>
      </font>
      <fill>
        <patternFill>
          <bgColor rgb="FFC8E6C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8FFF8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9C4"/>
      <rgbColor rgb="FFE3F2FD"/>
      <rgbColor rgb="FF660066"/>
      <rgbColor rgb="FFFF8080"/>
      <rgbColor rgb="FF1565C0"/>
      <rgbColor rgb="FFE8E8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C8E6C9"/>
      <rgbColor rgb="FFFFF3E0"/>
      <rgbColor rgb="FFF5F5F7"/>
      <rgbColor rgb="FFFFE0E0"/>
      <rgbColor rgb="FFFFF8F8"/>
      <rgbColor rgb="FFFFCDD2"/>
      <rgbColor rgb="FF3366FF"/>
      <rgbColor rgb="FF33CCCC"/>
      <rgbColor rgb="FF99CC00"/>
      <rgbColor rgb="FFFFCC00"/>
      <rgbColor rgb="FFF57F17"/>
      <rgbColor rgb="FFE65100"/>
      <rgbColor rgb="FF757575"/>
      <rgbColor rgb="FFC8A03C"/>
      <rgbColor rgb="FF0D47A1"/>
      <rgbColor rgb="FF2E7D32"/>
      <rgbColor rgb="FF1A1A2E"/>
      <rgbColor rgb="FF444444"/>
      <rgbColor rgb="FFB71C1C"/>
      <rgbColor rgb="FF993366"/>
      <rgbColor rgb="FF333399"/>
      <rgbColor rgb="FF2A2A4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8A03C"/>
    <outlinePr summaryBelow="1" summaryRight="1"/>
    <pageSetUpPr/>
  </sheetPr>
  <dimension ref="A1:I23"/>
  <sheetViews>
    <sheetView showGridLines="0" zoomScaleNormal="100" workbookViewId="0">
      <pane ySplit="4" topLeftCell="A5" activePane="bottomLeft" state="frozen"/>
      <selection pane="bottomLeft" activeCell="D5" sqref="D5"/>
    </sheetView>
  </sheetViews>
  <sheetFormatPr baseColWidth="10" defaultColWidth="8.6640625" defaultRowHeight="14.4"/>
  <cols>
    <col width="28" customWidth="1" min="1" max="1"/>
    <col width="8" customWidth="1" min="2" max="2"/>
    <col width="14" customWidth="1" min="3" max="3"/>
    <col width="12" customWidth="1" min="4" max="7"/>
    <col width="16" customWidth="1" min="8" max="8"/>
    <col width="0.109375" customWidth="1" min="9" max="9"/>
  </cols>
  <sheetData>
    <row r="1" ht="39.75" customHeight="1">
      <c r="A1" s="8" t="inlineStr">
        <is>
          <t>CGI 242 — Plan de Tests Fonctionnels</t>
        </is>
      </c>
    </row>
    <row r="2" ht="21.75" customHeight="1">
      <c r="A2" s="7" t="inlineStr">
        <is>
          <t>NORMX AI SAS  ·  Testeur : Christelle  ·  Version 1.0  ·  Généré le 23/03/2026</t>
        </is>
      </c>
    </row>
    <row r="3" ht="9.75" customHeight="1"/>
    <row r="4" ht="21.75" customHeight="1">
      <c r="A4" s="9" t="inlineStr">
        <is>
          <t>Module</t>
        </is>
      </c>
      <c r="B4" s="9" t="inlineStr">
        <is>
          <t>Emoji</t>
        </is>
      </c>
      <c r="C4" s="9" t="inlineStr">
        <is>
          <t>Tests Total</t>
        </is>
      </c>
      <c r="D4" s="9" t="inlineStr">
        <is>
          <t>✅ PASS</t>
        </is>
      </c>
      <c r="E4" s="9" t="inlineStr">
        <is>
          <t>❌ FAIL</t>
        </is>
      </c>
      <c r="F4" s="9" t="inlineStr">
        <is>
          <t>⚠️ PARTIEL</t>
        </is>
      </c>
      <c r="G4" s="9" t="inlineStr">
        <is>
          <t>☐ À tester</t>
        </is>
      </c>
      <c r="H4" s="9" t="inlineStr">
        <is>
          <t>% Avancement</t>
        </is>
      </c>
    </row>
    <row r="5" ht="24" customHeight="1">
      <c r="A5" s="10" t="inlineStr">
        <is>
          <t>🔐  Authentification</t>
        </is>
      </c>
      <c r="B5" s="11" t="inlineStr">
        <is>
          <t>🔐</t>
        </is>
      </c>
      <c r="C5" s="12" t="n">
        <v>6</v>
      </c>
      <c r="D5" s="13">
        <f>COUNTIFS('🧪 Tests'!A:A,I5,'🧪 Tests'!G:G,"✅ PASS")</f>
        <v/>
      </c>
      <c r="E5" s="14">
        <f>COUNTIFS('🧪 Tests'!A:A,I5,'🧪 Tests'!G:G,"❌ FAIL")</f>
        <v/>
      </c>
      <c r="F5" s="15">
        <f>COUNTIFS('🧪 Tests'!A:A,I5,'🧪 Tests'!G:G,"⚠️ PARTIEL")</f>
        <v/>
      </c>
      <c r="G5" s="16">
        <f>COUNTIFS('🧪 Tests'!A:A,I5,'🧪 Tests'!G:G,"☐ À tester")</f>
        <v/>
      </c>
      <c r="H5" s="17">
        <f>IF(C5&gt;0,ROUND((D5+F5*0.5)/C5*100,1)&amp;"%","0%")</f>
        <v/>
      </c>
      <c r="I5" s="18" t="inlineStr">
        <is>
          <t>Authentification</t>
        </is>
      </c>
    </row>
    <row r="6" ht="24" customHeight="1">
      <c r="A6" s="19" t="inlineStr">
        <is>
          <t>🏠  Accueil (Home)</t>
        </is>
      </c>
      <c r="B6" s="20" t="inlineStr">
        <is>
          <t>🏠</t>
        </is>
      </c>
      <c r="C6" s="21" t="n">
        <v>4</v>
      </c>
      <c r="D6" s="22">
        <f>COUNTIFS('🧪 Tests'!A:A,I6,'🧪 Tests'!G:G,"✅ PASS")</f>
        <v/>
      </c>
      <c r="E6" s="23">
        <f>COUNTIFS('🧪 Tests'!A:A,I6,'🧪 Tests'!G:G,"❌ FAIL")</f>
        <v/>
      </c>
      <c r="F6" s="24">
        <f>COUNTIFS('🧪 Tests'!A:A,I6,'🧪 Tests'!G:G,"⚠️ PARTIEL")</f>
        <v/>
      </c>
      <c r="G6" s="25">
        <f>COUNTIFS('🧪 Tests'!A:A,I6,'🧪 Tests'!G:G,"☐ À tester")</f>
        <v/>
      </c>
      <c r="H6" s="26">
        <f>IF(C6&gt;0,ROUND((D6+F6*0.5)/C6*100,1)&amp;"%","0%")</f>
        <v/>
      </c>
      <c r="I6" s="18" t="inlineStr">
        <is>
          <t>Accueil (Home)</t>
        </is>
      </c>
    </row>
    <row r="7" ht="24" customHeight="1">
      <c r="A7" s="10" t="inlineStr">
        <is>
          <t>📖  Navigation CGI</t>
        </is>
      </c>
      <c r="B7" s="11" t="inlineStr">
        <is>
          <t>📖</t>
        </is>
      </c>
      <c r="C7" s="12" t="n">
        <v>13</v>
      </c>
      <c r="D7" s="13">
        <f>COUNTIFS('🧪 Tests'!A:A,I7,'🧪 Tests'!G:G,"✅ PASS")</f>
        <v/>
      </c>
      <c r="E7" s="14">
        <f>COUNTIFS('🧪 Tests'!A:A,I7,'🧪 Tests'!G:G,"❌ FAIL")</f>
        <v/>
      </c>
      <c r="F7" s="15">
        <f>COUNTIFS('🧪 Tests'!A:A,I7,'🧪 Tests'!G:G,"⚠️ PARTIEL")</f>
        <v/>
      </c>
      <c r="G7" s="16">
        <f>COUNTIFS('🧪 Tests'!A:A,I7,'🧪 Tests'!G:G,"☐ À tester")</f>
        <v/>
      </c>
      <c r="H7" s="17">
        <f>IF(C7&gt;0,ROUND((D7+F7*0.5)/C7*100,1)&amp;"%","0%")</f>
        <v/>
      </c>
      <c r="I7" s="18" t="inlineStr">
        <is>
          <t>Navigation CGI</t>
        </is>
      </c>
    </row>
    <row r="8" ht="24" customHeight="1">
      <c r="A8" s="19" t="inlineStr">
        <is>
          <t>🔍  Recherche</t>
        </is>
      </c>
      <c r="B8" s="20" t="inlineStr">
        <is>
          <t>🔍</t>
        </is>
      </c>
      <c r="C8" s="21" t="n">
        <v>6</v>
      </c>
      <c r="D8" s="22">
        <f>COUNTIFS('🧪 Tests'!A:A,I8,'🧪 Tests'!G:G,"✅ PASS")</f>
        <v/>
      </c>
      <c r="E8" s="23">
        <f>COUNTIFS('🧪 Tests'!A:A,I8,'🧪 Tests'!G:G,"❌ FAIL")</f>
        <v/>
      </c>
      <c r="F8" s="24">
        <f>COUNTIFS('🧪 Tests'!A:A,I8,'🧪 Tests'!G:G,"⚠️ PARTIEL")</f>
        <v/>
      </c>
      <c r="G8" s="25">
        <f>COUNTIFS('🧪 Tests'!A:A,I8,'🧪 Tests'!G:G,"☐ À tester")</f>
        <v/>
      </c>
      <c r="H8" s="26">
        <f>IF(C8&gt;0,ROUND((D8+F8*0.5)/C8*100,1)&amp;"%","0%")</f>
        <v/>
      </c>
      <c r="I8" s="18" t="inlineStr">
        <is>
          <t>Recherche</t>
        </is>
      </c>
    </row>
    <row r="9" ht="24" customHeight="1">
      <c r="A9" s="10" t="inlineStr">
        <is>
          <t>📊  Simulateurs</t>
        </is>
      </c>
      <c r="B9" s="11" t="inlineStr">
        <is>
          <t>📊</t>
        </is>
      </c>
      <c r="C9" s="12" t="n">
        <v>19</v>
      </c>
      <c r="D9" s="13">
        <f>COUNTIFS('🧪 Tests'!A:A,I9,'🧪 Tests'!G:G,"✅ PASS")</f>
        <v/>
      </c>
      <c r="E9" s="14">
        <f>COUNTIFS('🧪 Tests'!A:A,I9,'🧪 Tests'!G:G,"❌ FAIL")</f>
        <v/>
      </c>
      <c r="F9" s="15">
        <f>COUNTIFS('🧪 Tests'!A:A,I9,'🧪 Tests'!G:G,"⚠️ PARTIEL")</f>
        <v/>
      </c>
      <c r="G9" s="16">
        <f>COUNTIFS('🧪 Tests'!A:A,I9,'🧪 Tests'!G:G,"☐ À tester")</f>
        <v/>
      </c>
      <c r="H9" s="17">
        <f>IF(C9&gt;0,ROUND((D9+F9*0.5)/C9*100,1)&amp;"%","0%")</f>
        <v/>
      </c>
      <c r="I9" s="18" t="inlineStr">
        <is>
          <t>Simulateurs</t>
        </is>
      </c>
    </row>
    <row r="10" ht="24" customHeight="1">
      <c r="A10" s="19" t="inlineStr">
        <is>
          <t>🤖  Assistant IA</t>
        </is>
      </c>
      <c r="B10" s="20" t="inlineStr">
        <is>
          <t>🤖</t>
        </is>
      </c>
      <c r="C10" s="21" t="n">
        <v>12</v>
      </c>
      <c r="D10" s="22">
        <f>COUNTIFS('🧪 Tests'!A:A,I10,'🧪 Tests'!G:G,"✅ PASS")</f>
        <v/>
      </c>
      <c r="E10" s="23">
        <f>COUNTIFS('🧪 Tests'!A:A,I10,'🧪 Tests'!G:G,"❌ FAIL")</f>
        <v/>
      </c>
      <c r="F10" s="24">
        <f>COUNTIFS('🧪 Tests'!A:A,I10,'🧪 Tests'!G:G,"⚠️ PARTIEL")</f>
        <v/>
      </c>
      <c r="G10" s="25">
        <f>COUNTIFS('🧪 Tests'!A:A,I10,'🧪 Tests'!G:G,"☐ À tester")</f>
        <v/>
      </c>
      <c r="H10" s="26">
        <f>IF(C10&gt;0,ROUND((D10+F10*0.5)/C10*100,1)&amp;"%","0%")</f>
        <v/>
      </c>
      <c r="I10" s="18" t="inlineStr">
        <is>
          <t>Assistant IA</t>
        </is>
      </c>
    </row>
    <row r="11" ht="24" customHeight="1">
      <c r="A11" s="10" t="inlineStr">
        <is>
          <t>📅  Calendrier Fiscal</t>
        </is>
      </c>
      <c r="B11" s="11" t="inlineStr">
        <is>
          <t>📅</t>
        </is>
      </c>
      <c r="C11" s="12" t="n">
        <v>4</v>
      </c>
      <c r="D11" s="13">
        <f>COUNTIFS('🧪 Tests'!A:A,I11,'🧪 Tests'!G:G,"✅ PASS")</f>
        <v/>
      </c>
      <c r="E11" s="14">
        <f>COUNTIFS('🧪 Tests'!A:A,I11,'🧪 Tests'!G:G,"❌ FAIL")</f>
        <v/>
      </c>
      <c r="F11" s="15">
        <f>COUNTIFS('🧪 Tests'!A:A,I11,'🧪 Tests'!G:G,"⚠️ PARTIEL")</f>
        <v/>
      </c>
      <c r="G11" s="16">
        <f>COUNTIFS('🧪 Tests'!A:A,I11,'🧪 Tests'!G:G,"☐ À tester")</f>
        <v/>
      </c>
      <c r="H11" s="17">
        <f>IF(C11&gt;0,ROUND((D11+F11*0.5)/C11*100,1)&amp;"%","0%")</f>
        <v/>
      </c>
      <c r="I11" s="18" t="inlineStr">
        <is>
          <t>Calendrier Fiscal</t>
        </is>
      </c>
    </row>
    <row r="12" ht="24" customHeight="1">
      <c r="A12" s="19" t="inlineStr">
        <is>
          <t>👤  Profil &amp; Abonnement</t>
        </is>
      </c>
      <c r="B12" s="20" t="inlineStr">
        <is>
          <t>👤</t>
        </is>
      </c>
      <c r="C12" s="21" t="n">
        <v>7</v>
      </c>
      <c r="D12" s="22">
        <f>COUNTIFS('🧪 Tests'!A:A,I12,'🧪 Tests'!G:G,"✅ PASS")</f>
        <v/>
      </c>
      <c r="E12" s="23">
        <f>COUNTIFS('🧪 Tests'!A:A,I12,'🧪 Tests'!G:G,"❌ FAIL")</f>
        <v/>
      </c>
      <c r="F12" s="24">
        <f>COUNTIFS('🧪 Tests'!A:A,I12,'🧪 Tests'!G:G,"⚠️ PARTIEL")</f>
        <v/>
      </c>
      <c r="G12" s="25">
        <f>COUNTIFS('🧪 Tests'!A:A,I12,'🧪 Tests'!G:G,"☐ À tester")</f>
        <v/>
      </c>
      <c r="H12" s="26">
        <f>IF(C12&gt;0,ROUND((D12+F12*0.5)/C12*100,1)&amp;"%","0%")</f>
        <v/>
      </c>
      <c r="I12" s="18" t="inlineStr">
        <is>
          <t>Profil &amp; Abonnement</t>
        </is>
      </c>
    </row>
    <row r="13" ht="24" customHeight="1">
      <c r="A13" s="10" t="inlineStr">
        <is>
          <t>🔓  FREE Trial</t>
        </is>
      </c>
      <c r="B13" s="11" t="inlineStr">
        <is>
          <t>🔓</t>
        </is>
      </c>
      <c r="C13" s="12" t="n">
        <v>4</v>
      </c>
      <c r="D13" s="13">
        <f>COUNTIFS('🧪 Tests'!A:A,I13,'🧪 Tests'!G:G,"✅ PASS")</f>
        <v/>
      </c>
      <c r="E13" s="14">
        <f>COUNTIFS('🧪 Tests'!A:A,I13,'🧪 Tests'!G:G,"❌ FAIL")</f>
        <v/>
      </c>
      <c r="F13" s="15">
        <f>COUNTIFS('🧪 Tests'!A:A,I13,'🧪 Tests'!G:G,"⚠️ PARTIEL")</f>
        <v/>
      </c>
      <c r="G13" s="16">
        <f>COUNTIFS('🧪 Tests'!A:A,I13,'🧪 Tests'!G:G,"☐ À tester")</f>
        <v/>
      </c>
      <c r="H13" s="17">
        <f>IF(C13&gt;0,ROUND((D13+F13*0.5)/C13*100,1)&amp;"%","0%")</f>
        <v/>
      </c>
      <c r="I13" s="18" t="inlineStr">
        <is>
          <t>FREE Trial</t>
        </is>
      </c>
    </row>
    <row r="14" ht="24" customHeight="1">
      <c r="A14" s="19" t="inlineStr">
        <is>
          <t>⚡  Performance</t>
        </is>
      </c>
      <c r="B14" s="20" t="inlineStr">
        <is>
          <t>⚡</t>
        </is>
      </c>
      <c r="C14" s="21" t="n">
        <v>6</v>
      </c>
      <c r="D14" s="22">
        <f>COUNTIFS('🧪 Tests'!A:A,I14,'🧪 Tests'!G:G,"✅ PASS")</f>
        <v/>
      </c>
      <c r="E14" s="23">
        <f>COUNTIFS('🧪 Tests'!A:A,I14,'🧪 Tests'!G:G,"❌ FAIL")</f>
        <v/>
      </c>
      <c r="F14" s="24">
        <f>COUNTIFS('🧪 Tests'!A:A,I14,'🧪 Tests'!G:G,"⚠️ PARTIEL")</f>
        <v/>
      </c>
      <c r="G14" s="25">
        <f>COUNTIFS('🧪 Tests'!A:A,I14,'🧪 Tests'!G:G,"☐ À tester")</f>
        <v/>
      </c>
      <c r="H14" s="26">
        <f>IF(C14&gt;0,ROUND((D14+F14*0.5)/C14*100,1)&amp;"%","0%")</f>
        <v/>
      </c>
      <c r="I14" s="18" t="inlineStr">
        <is>
          <t>Performance</t>
        </is>
      </c>
    </row>
    <row r="15" ht="24" customHeight="1">
      <c r="A15" s="10" t="inlineStr">
        <is>
          <t>📱  UX Mobile</t>
        </is>
      </c>
      <c r="B15" s="11" t="inlineStr">
        <is>
          <t>📱</t>
        </is>
      </c>
      <c r="C15" s="12" t="n">
        <v>6</v>
      </c>
      <c r="D15" s="13">
        <f>COUNTIFS('🧪 Tests'!A:A,I15,'🧪 Tests'!G:G,"✅ PASS")</f>
        <v/>
      </c>
      <c r="E15" s="14">
        <f>COUNTIFS('🧪 Tests'!A:A,I15,'🧪 Tests'!G:G,"❌ FAIL")</f>
        <v/>
      </c>
      <c r="F15" s="15">
        <f>COUNTIFS('🧪 Tests'!A:A,I15,'🧪 Tests'!G:G,"⚠️ PARTIEL")</f>
        <v/>
      </c>
      <c r="G15" s="16">
        <f>COUNTIFS('🧪 Tests'!A:A,I15,'🧪 Tests'!G:G,"☐ À tester")</f>
        <v/>
      </c>
      <c r="H15" s="17">
        <f>IF(C15&gt;0,ROUND((D15+F15*0.5)/C15*100,1)&amp;"%","0%")</f>
        <v/>
      </c>
      <c r="I15" s="18" t="inlineStr">
        <is>
          <t>UX Mobile</t>
        </is>
      </c>
    </row>
    <row r="16" ht="27.75" customHeight="1">
      <c r="A16" s="27" t="inlineStr">
        <is>
          <t>📊  TOTAL GÉNÉRAL</t>
        </is>
      </c>
      <c r="B16" s="28" t="n"/>
      <c r="C16" s="28" t="n">
        <v>87</v>
      </c>
      <c r="D16" s="28">
        <f>COUNTIF('🧪 Tests'!G:G,"✅ PASS")</f>
        <v/>
      </c>
      <c r="E16" s="28">
        <f>COUNTIF('🧪 Tests'!G:G,"❌ FAIL")</f>
        <v/>
      </c>
      <c r="F16" s="28">
        <f>COUNTIF('🧪 Tests'!G:G,"⚠️ PARTIEL")</f>
        <v/>
      </c>
      <c r="G16" s="28">
        <f>COUNTIF('🧪 Tests'!G:G,"☐ À tester")</f>
        <v/>
      </c>
      <c r="H16" s="28">
        <f>IF(C16&gt;0,ROUND((D16+F16*0.5)/C16*100,1)&amp;"%","0%")</f>
        <v/>
      </c>
    </row>
    <row r="18" ht="19.5" customHeight="1">
      <c r="A18" s="6" t="inlineStr">
        <is>
          <t>LÉGENDE DES STATUTS</t>
        </is>
      </c>
    </row>
    <row r="19" ht="19.5" customHeight="1">
      <c r="A19" s="29" t="inlineStr">
        <is>
          <t>☐ À tester</t>
        </is>
      </c>
      <c r="B19" s="5" t="inlineStr">
        <is>
          <t>Test non encore exécuté</t>
        </is>
      </c>
      <c r="C19" s="57" t="n"/>
      <c r="D19" s="57" t="n"/>
      <c r="E19" s="57" t="n"/>
      <c r="F19" s="57" t="n"/>
      <c r="G19" s="57" t="n"/>
      <c r="H19" s="57" t="n"/>
    </row>
    <row r="20" ht="19.5" customHeight="1">
      <c r="A20" s="30" t="inlineStr">
        <is>
          <t>✅ PASS</t>
        </is>
      </c>
      <c r="B20" s="5" t="inlineStr">
        <is>
          <t>Test réussi — comportement conforme</t>
        </is>
      </c>
      <c r="C20" s="57" t="n"/>
      <c r="D20" s="57" t="n"/>
      <c r="E20" s="57" t="n"/>
      <c r="F20" s="57" t="n"/>
      <c r="G20" s="57" t="n"/>
      <c r="H20" s="57" t="n"/>
    </row>
    <row r="21" ht="19.5" customHeight="1">
      <c r="A21" s="31" t="inlineStr">
        <is>
          <t>❌ FAIL</t>
        </is>
      </c>
      <c r="B21" s="5" t="inlineStr">
        <is>
          <t>Test échoué — bug à corriger dans la feuille Bugs</t>
        </is>
      </c>
      <c r="C21" s="57" t="n"/>
      <c r="D21" s="57" t="n"/>
      <c r="E21" s="57" t="n"/>
      <c r="F21" s="57" t="n"/>
      <c r="G21" s="57" t="n"/>
      <c r="H21" s="57" t="n"/>
    </row>
    <row r="22" ht="19.5" customHeight="1">
      <c r="A22" s="32" t="inlineStr">
        <is>
          <t>⚠️ PARTIEL</t>
        </is>
      </c>
      <c r="B22" s="5" t="inlineStr">
        <is>
          <t>Test partiellement réussi — à surveiller</t>
        </is>
      </c>
      <c r="C22" s="57" t="n"/>
      <c r="D22" s="57" t="n"/>
      <c r="E22" s="57" t="n"/>
      <c r="F22" s="57" t="n"/>
      <c r="G22" s="57" t="n"/>
      <c r="H22" s="57" t="n"/>
    </row>
    <row r="23" ht="19.5" customHeight="1">
      <c r="A23" s="33" t="inlineStr">
        <is>
          <t>🚫 N/A</t>
        </is>
      </c>
      <c r="B23" s="5" t="inlineStr">
        <is>
          <t>Test non applicable dans ce contexte</t>
        </is>
      </c>
      <c r="C23" s="57" t="n"/>
      <c r="D23" s="57" t="n"/>
      <c r="E23" s="57" t="n"/>
      <c r="F23" s="57" t="n"/>
      <c r="G23" s="57" t="n"/>
      <c r="H23" s="57" t="n"/>
    </row>
  </sheetData>
  <mergeCells count="8">
    <mergeCell ref="A18:H18"/>
    <mergeCell ref="B22:H22"/>
    <mergeCell ref="B21:H21"/>
    <mergeCell ref="A2:H2"/>
    <mergeCell ref="A1:H1"/>
    <mergeCell ref="B19:H19"/>
    <mergeCell ref="B20:H20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E7D32"/>
    <outlinePr summaryBelow="1" summaryRight="1"/>
    <pageSetUpPr/>
  </sheetPr>
  <dimension ref="A1:K122"/>
  <sheetViews>
    <sheetView showGridLines="0" tabSelected="1" zoomScaleNormal="100" workbookViewId="0">
      <pane xSplit="2" ySplit="3" topLeftCell="D4" activePane="bottomRight" state="frozen"/>
      <selection pane="topRight" activeCell="C1" sqref="C1"/>
      <selection pane="bottomLeft" activeCell="A4" sqref="A4"/>
      <selection pane="bottomRight" activeCell="K4" sqref="K4"/>
    </sheetView>
  </sheetViews>
  <sheetFormatPr baseColWidth="10" defaultColWidth="8.6640625" defaultRowHeight="14.4"/>
  <cols>
    <col width="28.88671875" customWidth="1" min="1" max="1"/>
    <col width="11.77734375" bestFit="1" customWidth="1" min="2" max="2"/>
    <col width="41.21875" customWidth="1" min="3" max="3"/>
    <col width="45" customWidth="1" min="4" max="4"/>
    <col width="40" customWidth="1" min="5" max="5"/>
    <col width="13.21875" bestFit="1" customWidth="1" min="6" max="6"/>
    <col width="11.88671875" bestFit="1" customWidth="1" min="7" max="7"/>
    <col width="14.5546875" bestFit="1" customWidth="1" min="8" max="8"/>
    <col width="25.77734375" bestFit="1" customWidth="1" min="9" max="9"/>
    <col width="26.33203125" bestFit="1" customWidth="1" min="10" max="10"/>
    <col width="14.5546875" bestFit="1" customWidth="1" min="11" max="11"/>
  </cols>
  <sheetData>
    <row r="1" ht="21" customHeight="1">
      <c r="A1" s="4" t="inlineStr">
        <is>
          <t>CGI 242 — Grille de Tests Fonctionnels Interactive</t>
        </is>
      </c>
    </row>
    <row r="2">
      <c r="A2" s="3" t="inlineStr">
        <is>
          <t>Modifiez la colonne STATUT avec la liste déroulante · Ajoutez vos commentaires et bugs dans les colonnes I et J · Utilisez les filtres (ligne 3)</t>
        </is>
      </c>
    </row>
    <row r="3" ht="24" customHeight="1">
      <c r="A3" s="34" t="inlineStr">
        <is>
          <t>MODULE</t>
        </is>
      </c>
      <c r="B3" s="34" t="inlineStr">
        <is>
          <t>ID TEST</t>
        </is>
      </c>
      <c r="C3" s="34" t="inlineStr">
        <is>
          <t>DESCRIPTION</t>
        </is>
      </c>
      <c r="D3" s="34" t="inlineStr">
        <is>
          <t>ACTIONS À EFFECTUER</t>
        </is>
      </c>
      <c r="E3" s="34" t="inlineStr">
        <is>
          <t>RÉSULTAT ATTENDU</t>
        </is>
      </c>
      <c r="F3" s="34" t="inlineStr">
        <is>
          <t>PRIORITÉ</t>
        </is>
      </c>
      <c r="G3" s="34" t="inlineStr">
        <is>
          <t>STATUT</t>
        </is>
      </c>
      <c r="H3" s="34" t="inlineStr">
        <is>
          <t>DATE TEST</t>
        </is>
      </c>
      <c r="I3" s="34" t="inlineStr">
        <is>
          <t>🐛 COMMENTAIRE / BUG</t>
        </is>
      </c>
      <c r="J3" s="34" t="inlineStr">
        <is>
          <t>💡 BESOIN D'ÉVOLUTION</t>
        </is>
      </c>
      <c r="K3" s="34" t="inlineStr">
        <is>
          <t>TESTÉ PAR</t>
        </is>
      </c>
    </row>
    <row r="4" ht="30.6" customHeight="1">
      <c r="A4" s="55" t="inlineStr">
        <is>
          <t>Authentification</t>
        </is>
      </c>
      <c r="B4" s="35" t="inlineStr">
        <is>
          <t>AUTH-01</t>
        </is>
      </c>
      <c r="C4" s="36" t="inlineStr">
        <is>
          <t>Inscription nouveau compte</t>
        </is>
      </c>
      <c r="D4" s="36" t="inlineStr">
        <is>
          <t>Taper email + mot de passe → Appuyer sur 'S'inscrire'</t>
        </is>
      </c>
      <c r="E4" s="36" t="inlineStr">
        <is>
          <t>Compte créé, email de confirmation envoyé, redirection écran accueil</t>
        </is>
      </c>
      <c r="F4" s="37" t="inlineStr">
        <is>
          <t>CRITIQUE</t>
        </is>
      </c>
      <c r="G4" s="38" t="inlineStr">
        <is>
          <t>☐ À tester</t>
        </is>
      </c>
      <c r="H4" s="39" t="n"/>
      <c r="I4" s="40" t="n"/>
      <c r="J4" s="41" t="n"/>
      <c r="K4" s="39" t="n"/>
    </row>
    <row r="5" ht="30.6" customHeight="1">
      <c r="A5" s="55" t="inlineStr">
        <is>
          <t>Authentification</t>
        </is>
      </c>
      <c r="B5" s="35" t="inlineStr">
        <is>
          <t>AUTH-02</t>
        </is>
      </c>
      <c r="C5" s="36" t="inlineStr">
        <is>
          <t>Connexion avec compte existant</t>
        </is>
      </c>
      <c r="D5" s="36" t="inlineStr">
        <is>
          <t>Entrer identifiants corrects → Connexion</t>
        </is>
      </c>
      <c r="E5" s="36" t="inlineStr">
        <is>
          <t>Accès tableau de bord, session ouverte, nom affiché en haut</t>
        </is>
      </c>
      <c r="F5" s="37" t="inlineStr">
        <is>
          <t>CRITIQUE</t>
        </is>
      </c>
      <c r="G5" s="38" t="inlineStr">
        <is>
          <t>☐ À tester</t>
        </is>
      </c>
      <c r="H5" s="39" t="n"/>
      <c r="I5" s="40" t="n"/>
      <c r="J5" s="41" t="n"/>
      <c r="K5" s="39" t="n"/>
    </row>
    <row r="6" ht="30.6" customHeight="1">
      <c r="A6" s="55" t="inlineStr">
        <is>
          <t>Authentification</t>
        </is>
      </c>
      <c r="B6" s="35" t="inlineStr">
        <is>
          <t>AUTH-03</t>
        </is>
      </c>
      <c r="C6" s="36" t="inlineStr">
        <is>
          <t>Mot de passe incorrect (3 tentatives)</t>
        </is>
      </c>
      <c r="D6" s="36" t="inlineStr">
        <is>
          <t>Entrer un mot de passe erroné 3 fois de suite</t>
        </is>
      </c>
      <c r="E6" s="36" t="inlineStr">
        <is>
          <t>Message d'erreur clair, blocage temporaire après 3 échecs</t>
        </is>
      </c>
      <c r="F6" s="42" t="inlineStr">
        <is>
          <t>HAUTE</t>
        </is>
      </c>
      <c r="G6" s="38" t="inlineStr">
        <is>
          <t>☐ À tester</t>
        </is>
      </c>
      <c r="H6" s="39" t="n"/>
      <c r="I6" s="40" t="n"/>
      <c r="J6" s="41" t="n"/>
      <c r="K6" s="39" t="n"/>
    </row>
    <row r="7" ht="30.6" customHeight="1">
      <c r="A7" s="55" t="inlineStr">
        <is>
          <t>Authentification</t>
        </is>
      </c>
      <c r="B7" s="35" t="inlineStr">
        <is>
          <t>AUTH-04</t>
        </is>
      </c>
      <c r="C7" s="36" t="inlineStr">
        <is>
          <t>Réinitialisation mot de passe</t>
        </is>
      </c>
      <c r="D7" s="36" t="inlineStr">
        <is>
          <t>Cliquer 'Mot de passe oublié' → saisir email → valider</t>
        </is>
      </c>
      <c r="E7" s="36" t="inlineStr">
        <is>
          <t>Email de réinitialisation reçu dans les 2 minutes</t>
        </is>
      </c>
      <c r="F7" s="42" t="inlineStr">
        <is>
          <t>HAUTE</t>
        </is>
      </c>
      <c r="G7" s="38" t="inlineStr">
        <is>
          <t>☐ À tester</t>
        </is>
      </c>
      <c r="H7" s="39" t="n"/>
      <c r="I7" s="40" t="n"/>
      <c r="J7" s="41" t="n"/>
      <c r="K7" s="39" t="n"/>
    </row>
    <row r="8" ht="30.6" customHeight="1">
      <c r="A8" s="55" t="inlineStr">
        <is>
          <t>Authentification</t>
        </is>
      </c>
      <c r="B8" s="35" t="inlineStr">
        <is>
          <t>AUTH-05</t>
        </is>
      </c>
      <c r="C8" s="36" t="inlineStr">
        <is>
          <t>Déconnexion</t>
        </is>
      </c>
      <c r="D8" s="36" t="inlineStr">
        <is>
          <t>Aller dans Profil → Déconnexion</t>
        </is>
      </c>
      <c r="E8" s="36" t="inlineStr">
        <is>
          <t>Session fermée, retour à l'écran de connexion</t>
        </is>
      </c>
      <c r="F8" s="43" t="inlineStr">
        <is>
          <t>NORMALE</t>
        </is>
      </c>
      <c r="G8" s="38" t="inlineStr">
        <is>
          <t>☐ À tester</t>
        </is>
      </c>
      <c r="H8" s="39" t="n"/>
      <c r="I8" s="40" t="n"/>
      <c r="J8" s="41" t="n"/>
      <c r="K8" s="39" t="n"/>
    </row>
    <row r="9" ht="30.6" customHeight="1">
      <c r="A9" s="55" t="inlineStr">
        <is>
          <t>Authentification</t>
        </is>
      </c>
      <c r="B9" s="35" t="inlineStr">
        <is>
          <t>AUTH-06</t>
        </is>
      </c>
      <c r="C9" s="36" t="inlineStr">
        <is>
          <t>Accès sans connexion (lien direct)</t>
        </is>
      </c>
      <c r="D9" s="36" t="inlineStr">
        <is>
          <t>Tenter d'accéder à un article sans être connecté</t>
        </is>
      </c>
      <c r="E9" s="36" t="inlineStr">
        <is>
          <t>Redirection vers l'écran de connexion</t>
        </is>
      </c>
      <c r="F9" s="42" t="inlineStr">
        <is>
          <t>HAUTE</t>
        </is>
      </c>
      <c r="G9" s="38" t="inlineStr">
        <is>
          <t>☐ À tester</t>
        </is>
      </c>
      <c r="H9" s="39" t="n"/>
      <c r="I9" s="40" t="n"/>
      <c r="J9" s="41" t="n"/>
      <c r="K9" s="39" t="n"/>
    </row>
    <row r="10" ht="30.6" customHeight="1">
      <c r="A10" s="56" t="inlineStr">
        <is>
          <t>Accueil (Home)</t>
        </is>
      </c>
      <c r="B10" s="44" t="inlineStr">
        <is>
          <t>HOME-01</t>
        </is>
      </c>
      <c r="C10" s="45" t="inlineStr">
        <is>
          <t>Affichage tableau de bord</t>
        </is>
      </c>
      <c r="D10" s="45" t="inlineStr">
        <is>
          <t>Se connecter et observer l'écran Home</t>
        </is>
      </c>
      <c r="E10" s="45" t="inlineStr">
        <is>
          <t>Accueil avec dernières consultations, prochaine échéance fiscale, accès rapides</t>
        </is>
      </c>
      <c r="F10" s="42" t="inlineStr">
        <is>
          <t>HAUTE</t>
        </is>
      </c>
      <c r="G10" s="38" t="inlineStr">
        <is>
          <t>☐ À tester</t>
        </is>
      </c>
      <c r="H10" s="46" t="n"/>
      <c r="I10" s="40" t="n"/>
      <c r="J10" s="41" t="n"/>
      <c r="K10" s="46" t="n"/>
    </row>
    <row r="11" ht="30.6" customHeight="1">
      <c r="A11" s="56" t="inlineStr">
        <is>
          <t>Accueil (Home)</t>
        </is>
      </c>
      <c r="B11" s="44" t="inlineStr">
        <is>
          <t>HOME-02</t>
        </is>
      </c>
      <c r="C11" s="45" t="inlineStr">
        <is>
          <t>Raccourcis de navigation fonctionnels</t>
        </is>
      </c>
      <c r="D11" s="45" t="inlineStr">
        <is>
          <t>Tapper les 4 raccourcis (CGI, IA, Simul, Profil)</t>
        </is>
      </c>
      <c r="E11" s="45" t="inlineStr">
        <is>
          <t>Chaque raccourci ouvre le bon module sans délai</t>
        </is>
      </c>
      <c r="F11" s="42" t="inlineStr">
        <is>
          <t>HAUTE</t>
        </is>
      </c>
      <c r="G11" s="38" t="inlineStr">
        <is>
          <t>☐ À tester</t>
        </is>
      </c>
      <c r="H11" s="46" t="n"/>
      <c r="I11" s="40" t="n"/>
      <c r="J11" s="41" t="n"/>
      <c r="K11" s="46" t="n"/>
    </row>
    <row r="12" ht="30.6" customHeight="1">
      <c r="A12" s="56" t="inlineStr">
        <is>
          <t>Accueil (Home)</t>
        </is>
      </c>
      <c r="B12" s="44" t="inlineStr">
        <is>
          <t>HOME-03</t>
        </is>
      </c>
      <c r="C12" s="45" t="inlineStr">
        <is>
          <t>Historique des consultations récentes</t>
        </is>
      </c>
      <c r="D12" s="45" t="inlineStr">
        <is>
          <t>Consulter 3 articles → Revenir à l'accueil</t>
        </is>
      </c>
      <c r="E12" s="45" t="inlineStr">
        <is>
          <t>Les 3 articles apparaissent dans 'Dernières consultations'</t>
        </is>
      </c>
      <c r="F12" s="43" t="inlineStr">
        <is>
          <t>NORMALE</t>
        </is>
      </c>
      <c r="G12" s="38" t="inlineStr">
        <is>
          <t>☐ À tester</t>
        </is>
      </c>
      <c r="H12" s="46" t="n"/>
      <c r="I12" s="40" t="n"/>
      <c r="J12" s="41" t="n"/>
      <c r="K12" s="46" t="n"/>
    </row>
    <row r="13" ht="30.6" customHeight="1">
      <c r="A13" s="56" t="inlineStr">
        <is>
          <t>Accueil (Home)</t>
        </is>
      </c>
      <c r="B13" s="44" t="inlineStr">
        <is>
          <t>HOME-04</t>
        </is>
      </c>
      <c r="C13" s="45" t="inlineStr">
        <is>
          <t>Alerte prochaine échéance fiscale</t>
        </is>
      </c>
      <c r="D13" s="45" t="inlineStr">
        <is>
          <t>Observer la carte d'échéance sur l'accueil</t>
        </is>
      </c>
      <c r="E13" s="45" t="inlineStr">
        <is>
          <t>Echéance fiscale la plus proche affichée (ex: TVA Avr)</t>
        </is>
      </c>
      <c r="F13" s="43" t="inlineStr">
        <is>
          <t>NORMALE</t>
        </is>
      </c>
      <c r="G13" s="38" t="inlineStr">
        <is>
          <t>☐ À tester</t>
        </is>
      </c>
      <c r="H13" s="46" t="n"/>
      <c r="I13" s="40" t="n"/>
      <c r="J13" s="41" t="n"/>
      <c r="K13" s="46" t="n"/>
    </row>
    <row r="14" ht="30.6" customHeight="1">
      <c r="A14" s="55" t="inlineStr">
        <is>
          <t>Navigation CGI</t>
        </is>
      </c>
      <c r="B14" s="35" t="inlineStr">
        <is>
          <t>CGI-01</t>
        </is>
      </c>
      <c r="C14" s="36" t="inlineStr">
        <is>
          <t>Navigation Tome → Titre → Chapitre → Article</t>
        </is>
      </c>
      <c r="D14" s="36" t="inlineStr">
        <is>
          <t>Taper sur Tome 1 → Titre I (ITS) → Chapitre 1 → Article 1</t>
        </is>
      </c>
      <c r="E14" s="36" t="inlineStr">
        <is>
          <t>Arborescence complète parcourue, contenu article affiché</t>
        </is>
      </c>
      <c r="F14" s="37" t="inlineStr">
        <is>
          <t>CRITIQUE</t>
        </is>
      </c>
      <c r="G14" s="38" t="inlineStr">
        <is>
          <t>☐ À tester</t>
        </is>
      </c>
      <c r="H14" s="39" t="n"/>
      <c r="I14" s="40" t="n"/>
      <c r="J14" s="41" t="n"/>
      <c r="K14" s="39" t="n"/>
    </row>
    <row r="15" ht="30.6" customHeight="1">
      <c r="A15" s="55" t="inlineStr">
        <is>
          <t>Navigation CGI</t>
        </is>
      </c>
      <c r="B15" s="35" t="inlineStr">
        <is>
          <t>CGI-02</t>
        </is>
      </c>
      <c r="C15" s="36" t="inlineStr">
        <is>
          <t>Affichage complet d'un article</t>
        </is>
      </c>
      <c r="D15" s="36" t="inlineStr">
        <is>
          <t>Ouvrir n'importe quel article du CGI</t>
        </is>
      </c>
      <c r="E15" s="36" t="inlineStr">
        <is>
          <t>Numéro, titre, texte intégral lisible, boutons Favoris + Partage visibles</t>
        </is>
      </c>
      <c r="F15" s="37" t="inlineStr">
        <is>
          <t>CRITIQUE</t>
        </is>
      </c>
      <c r="G15" s="38" t="inlineStr">
        <is>
          <t>☐ À tester</t>
        </is>
      </c>
      <c r="H15" s="39" t="n"/>
      <c r="I15" s="40" t="n"/>
      <c r="J15" s="41" t="n"/>
      <c r="K15" s="39" t="n"/>
    </row>
    <row r="16" ht="30.6" customHeight="1">
      <c r="A16" s="55" t="inlineStr">
        <is>
          <t>Navigation CGI</t>
        </is>
      </c>
      <c r="B16" s="35" t="inlineStr">
        <is>
          <t>CGI-03</t>
        </is>
      </c>
      <c r="C16" s="36" t="inlineStr">
        <is>
          <t>Navigation Tome 2 (TVA)</t>
        </is>
      </c>
      <c r="D16" s="36" t="inlineStr">
        <is>
          <t>Tome 2 → Titre I → TVA → premier article TVA</t>
        </is>
      </c>
      <c r="E16" s="36" t="inlineStr">
        <is>
          <t>Article TVA s'affiche avec texte complet</t>
        </is>
      </c>
      <c r="F16" s="42" t="inlineStr">
        <is>
          <t>HAUTE</t>
        </is>
      </c>
      <c r="G16" s="38" t="inlineStr">
        <is>
          <t>☐ À tester</t>
        </is>
      </c>
      <c r="H16" s="39" t="n"/>
      <c r="I16" s="40" t="n"/>
      <c r="J16" s="41" t="n"/>
      <c r="K16" s="39" t="n"/>
    </row>
    <row r="17" ht="30.6" customHeight="1">
      <c r="A17" s="55" t="inlineStr">
        <is>
          <t>Navigation CGI</t>
        </is>
      </c>
      <c r="B17" s="35" t="inlineStr">
        <is>
          <t>CGI-04</t>
        </is>
      </c>
      <c r="C17" s="36" t="inlineStr">
        <is>
          <t>Navigation Tome 3 (Patente)</t>
        </is>
      </c>
      <c r="D17" s="36" t="inlineStr">
        <is>
          <t>Tome 3 → Patente → premier article</t>
        </is>
      </c>
      <c r="E17" s="36" t="inlineStr">
        <is>
          <t>Article affiché correctement</t>
        </is>
      </c>
      <c r="F17" s="42" t="inlineStr">
        <is>
          <t>HAUTE</t>
        </is>
      </c>
      <c r="G17" s="38" t="inlineStr">
        <is>
          <t>☐ À tester</t>
        </is>
      </c>
      <c r="H17" s="39" t="n"/>
      <c r="I17" s="40" t="n"/>
      <c r="J17" s="41" t="n"/>
      <c r="K17" s="39" t="n"/>
    </row>
    <row r="18" ht="30.6" customHeight="1">
      <c r="A18" s="55" t="inlineStr">
        <is>
          <t>Navigation CGI</t>
        </is>
      </c>
      <c r="B18" s="35" t="inlineStr">
        <is>
          <t>CGI-05</t>
        </is>
      </c>
      <c r="C18" s="36" t="inlineStr">
        <is>
          <t>TFNC (Taxe sur les Flux Numériques)</t>
        </is>
      </c>
      <c r="D18" s="36" t="inlineStr">
        <is>
          <t>Accéder à la section TFNC</t>
        </is>
      </c>
      <c r="E18" s="36" t="inlineStr">
        <is>
          <t>Articles TFNC listés et accessibles</t>
        </is>
      </c>
      <c r="F18" s="42" t="inlineStr">
        <is>
          <t>HAUTE</t>
        </is>
      </c>
      <c r="G18" s="38" t="inlineStr">
        <is>
          <t>☐ À tester</t>
        </is>
      </c>
      <c r="H18" s="39" t="n"/>
      <c r="I18" s="40" t="n"/>
      <c r="J18" s="41" t="n"/>
      <c r="K18" s="39" t="n"/>
    </row>
    <row r="19" ht="30.6" customHeight="1">
      <c r="A19" s="55" t="inlineStr">
        <is>
          <t>Navigation CGI</t>
        </is>
      </c>
      <c r="B19" s="35" t="inlineStr">
        <is>
          <t>CGI-06</t>
        </is>
      </c>
      <c r="C19" s="36" t="inlineStr">
        <is>
          <t>Bouton Retour (breadcrumb)</t>
        </is>
      </c>
      <c r="D19" s="36" t="inlineStr">
        <is>
          <t>Naviguer 4 niveaux → cliquer Retour 4 fois</t>
        </is>
      </c>
      <c r="E19" s="36" t="inlineStr">
        <is>
          <t>Chaque retour remonte d'un niveau sans bug</t>
        </is>
      </c>
      <c r="F19" s="42" t="inlineStr">
        <is>
          <t>HAUTE</t>
        </is>
      </c>
      <c r="G19" s="38" t="inlineStr">
        <is>
          <t>☐ À tester</t>
        </is>
      </c>
      <c r="H19" s="39" t="n"/>
      <c r="I19" s="40" t="n"/>
      <c r="J19" s="41" t="n"/>
      <c r="K19" s="39" t="n"/>
    </row>
    <row r="20" ht="30.6" customHeight="1">
      <c r="A20" s="55" t="inlineStr">
        <is>
          <t>Navigation CGI</t>
        </is>
      </c>
      <c r="B20" s="35" t="inlineStr">
        <is>
          <t>CGI-07</t>
        </is>
      </c>
      <c r="C20" s="36" t="inlineStr">
        <is>
          <t>Ajout article en Favoris</t>
        </is>
      </c>
      <c r="D20" s="36" t="inlineStr">
        <is>
          <t>Ouvrir un article → tapper l'étoile</t>
        </is>
      </c>
      <c r="E20" s="36" t="inlineStr">
        <is>
          <t>Article ajouté aux favoris, étoile devient dorée</t>
        </is>
      </c>
      <c r="F20" s="43" t="inlineStr">
        <is>
          <t>NORMALE</t>
        </is>
      </c>
      <c r="G20" s="38" t="inlineStr">
        <is>
          <t>☐ À tester</t>
        </is>
      </c>
      <c r="H20" s="39" t="n"/>
      <c r="I20" s="40" t="n"/>
      <c r="J20" s="41" t="n"/>
      <c r="K20" s="39" t="n"/>
    </row>
    <row r="21" ht="30.6" customHeight="1">
      <c r="A21" s="55" t="inlineStr">
        <is>
          <t>Navigation CGI</t>
        </is>
      </c>
      <c r="B21" s="35" t="inlineStr">
        <is>
          <t>CGI-08</t>
        </is>
      </c>
      <c r="C21" s="36" t="inlineStr">
        <is>
          <t>Retrait article des Favoris</t>
        </is>
      </c>
      <c r="D21" s="36" t="inlineStr">
        <is>
          <t>Tapper à nouveau sur l'étoile dorée</t>
        </is>
      </c>
      <c r="E21" s="36" t="inlineStr">
        <is>
          <t>Article retiré des favoris, étoile redevient vide</t>
        </is>
      </c>
      <c r="F21" s="43" t="inlineStr">
        <is>
          <t>NORMALE</t>
        </is>
      </c>
      <c r="G21" s="38" t="inlineStr">
        <is>
          <t>☐ À tester</t>
        </is>
      </c>
      <c r="H21" s="39" t="n"/>
      <c r="I21" s="40" t="n"/>
      <c r="J21" s="41" t="n"/>
      <c r="K21" s="39" t="n"/>
    </row>
    <row r="22" ht="30.6" customHeight="1">
      <c r="A22" s="55" t="inlineStr">
        <is>
          <t>Navigation CGI</t>
        </is>
      </c>
      <c r="B22" s="35" t="inlineStr">
        <is>
          <t>CGI-09</t>
        </is>
      </c>
      <c r="C22" s="36" t="inlineStr">
        <is>
          <t>Liste des Favoris</t>
        </is>
      </c>
      <c r="D22" s="36" t="inlineStr">
        <is>
          <t>Aller dans Profil → Favoris</t>
        </is>
      </c>
      <c r="E22" s="36" t="inlineStr">
        <is>
          <t>Liste des articles mis en favoris affichée</t>
        </is>
      </c>
      <c r="F22" s="43" t="inlineStr">
        <is>
          <t>NORMALE</t>
        </is>
      </c>
      <c r="G22" s="38" t="inlineStr">
        <is>
          <t>☐ À tester</t>
        </is>
      </c>
      <c r="H22" s="39" t="n"/>
      <c r="I22" s="40" t="n"/>
      <c r="J22" s="41" t="n"/>
      <c r="K22" s="39" t="n"/>
    </row>
    <row r="23" ht="30.6" customHeight="1">
      <c r="A23" s="55" t="inlineStr">
        <is>
          <t>Navigation CGI</t>
        </is>
      </c>
      <c r="B23" s="35" t="inlineStr">
        <is>
          <t>CGI-10</t>
        </is>
      </c>
      <c r="C23" s="36" t="inlineStr">
        <is>
          <t>Partage d'un article</t>
        </is>
      </c>
      <c r="D23" s="36" t="inlineStr">
        <is>
          <t>Ouvrir un article → bouton Partager</t>
        </is>
      </c>
      <c r="E23" s="36" t="inlineStr">
        <is>
          <t>Feuille de partage Android s'ouvre avec lien de l'article</t>
        </is>
      </c>
      <c r="F23" s="43" t="inlineStr">
        <is>
          <t>NORMALE</t>
        </is>
      </c>
      <c r="G23" s="38" t="inlineStr">
        <is>
          <t>☐ À tester</t>
        </is>
      </c>
      <c r="H23" s="39" t="n"/>
      <c r="I23" s="40" t="n"/>
      <c r="J23" s="41" t="n"/>
      <c r="K23" s="39" t="n"/>
    </row>
    <row r="24" ht="30.6" customHeight="1">
      <c r="A24" s="55" t="inlineStr">
        <is>
          <t>Navigation CGI</t>
        </is>
      </c>
      <c r="B24" s="35" t="inlineStr">
        <is>
          <t>CGI-11</t>
        </is>
      </c>
      <c r="C24" s="36" t="inlineStr">
        <is>
          <t>Lecture audio (text-to-speech)</t>
        </is>
      </c>
      <c r="D24" s="36" t="inlineStr">
        <is>
          <t>Ouvrir un article → bouton audio</t>
        </is>
      </c>
      <c r="E24" s="36" t="inlineStr">
        <is>
          <t>Synthèse vocale lit le contenu en français</t>
        </is>
      </c>
      <c r="F24" s="43" t="inlineStr">
        <is>
          <t>NORMALE</t>
        </is>
      </c>
      <c r="G24" s="38" t="inlineStr">
        <is>
          <t>☐ À tester</t>
        </is>
      </c>
      <c r="H24" s="39" t="n"/>
      <c r="I24" s="40" t="n"/>
      <c r="J24" s="41" t="n"/>
      <c r="K24" s="39" t="n"/>
    </row>
    <row r="25" ht="30.6" customHeight="1">
      <c r="A25" s="55" t="inlineStr">
        <is>
          <t>Navigation CGI</t>
        </is>
      </c>
      <c r="B25" s="35" t="inlineStr">
        <is>
          <t>CGI-12</t>
        </is>
      </c>
      <c r="C25" s="36" t="inlineStr">
        <is>
          <t>Mode hors-ligne</t>
        </is>
      </c>
      <c r="D25" s="36" t="inlineStr">
        <is>
          <t>Couper le Wi-Fi → rouvrir un article consulté</t>
        </is>
      </c>
      <c r="E25" s="36" t="inlineStr">
        <is>
          <t>Article s'affiche depuis le cache local</t>
        </is>
      </c>
      <c r="F25" s="42" t="inlineStr">
        <is>
          <t>HAUTE</t>
        </is>
      </c>
      <c r="G25" s="38" t="inlineStr">
        <is>
          <t>☐ À tester</t>
        </is>
      </c>
      <c r="H25" s="39" t="n"/>
      <c r="I25" s="40" t="n"/>
      <c r="J25" s="41" t="n"/>
      <c r="K25" s="39" t="n"/>
    </row>
    <row r="26" ht="30.6" customHeight="1">
      <c r="A26" s="55" t="inlineStr">
        <is>
          <t>Navigation CGI</t>
        </is>
      </c>
      <c r="B26" s="35" t="inlineStr">
        <is>
          <t>CGI-13</t>
        </is>
      </c>
      <c r="C26" s="36" t="inlineStr">
        <is>
          <t>2 263 articles présents</t>
        </is>
      </c>
      <c r="D26" s="36" t="inlineStr">
        <is>
          <t>Vérifier le compteur total d'articles</t>
        </is>
      </c>
      <c r="E26" s="36" t="inlineStr">
        <is>
          <t>Total = 2 263 articles (3 tomes + TFNC)</t>
        </is>
      </c>
      <c r="F26" s="37" t="inlineStr">
        <is>
          <t>CRITIQUE</t>
        </is>
      </c>
      <c r="G26" s="38" t="inlineStr">
        <is>
          <t>☐ À tester</t>
        </is>
      </c>
      <c r="H26" s="39" t="n"/>
      <c r="I26" s="40" t="n"/>
      <c r="J26" s="41" t="n"/>
      <c r="K26" s="39" t="n"/>
    </row>
    <row r="27" ht="30.6" customHeight="1">
      <c r="A27" s="56" t="inlineStr">
        <is>
          <t>Recherche</t>
        </is>
      </c>
      <c r="B27" s="44" t="inlineStr">
        <is>
          <t>RECH-01</t>
        </is>
      </c>
      <c r="C27" s="45" t="inlineStr">
        <is>
          <t>Recherche par numéro d'article</t>
        </is>
      </c>
      <c r="D27" s="45" t="inlineStr">
        <is>
          <t>Taper 'Art. 45' dans la barre de recherche</t>
        </is>
      </c>
      <c r="E27" s="45" t="inlineStr">
        <is>
          <t>Article 45 affiché en premier résultat</t>
        </is>
      </c>
      <c r="F27" s="37" t="inlineStr">
        <is>
          <t>CRITIQUE</t>
        </is>
      </c>
      <c r="G27" s="38" t="inlineStr">
        <is>
          <t>☐ À tester</t>
        </is>
      </c>
      <c r="H27" s="46" t="n"/>
      <c r="I27" s="40" t="n"/>
      <c r="J27" s="41" t="n"/>
      <c r="K27" s="46" t="n"/>
    </row>
    <row r="28" ht="30.6" customHeight="1">
      <c r="A28" s="56" t="inlineStr">
        <is>
          <t>Recherche</t>
        </is>
      </c>
      <c r="B28" s="44" t="inlineStr">
        <is>
          <t>RECH-02</t>
        </is>
      </c>
      <c r="C28" s="45" t="inlineStr">
        <is>
          <t>Recherche par mot-clé</t>
        </is>
      </c>
      <c r="D28" s="45" t="inlineStr">
        <is>
          <t>Taper 'taxe sur la valeur ajoutée'</t>
        </is>
      </c>
      <c r="E28" s="45" t="inlineStr">
        <is>
          <t>Articles TVA listés par pertinence</t>
        </is>
      </c>
      <c r="F28" s="42" t="inlineStr">
        <is>
          <t>HAUTE</t>
        </is>
      </c>
      <c r="G28" s="38" t="inlineStr">
        <is>
          <t>☐ À tester</t>
        </is>
      </c>
      <c r="H28" s="46" t="n"/>
      <c r="I28" s="40" t="n"/>
      <c r="J28" s="41" t="n"/>
      <c r="K28" s="46" t="n"/>
    </row>
    <row r="29" ht="30.6" customHeight="1">
      <c r="A29" s="56" t="inlineStr">
        <is>
          <t>Recherche</t>
        </is>
      </c>
      <c r="B29" s="44" t="inlineStr">
        <is>
          <t>RECH-03</t>
        </is>
      </c>
      <c r="C29" s="45" t="inlineStr">
        <is>
          <t>Recherche sans accent</t>
        </is>
      </c>
      <c r="D29" s="45" t="inlineStr">
        <is>
          <t>Taper 'impot sur le revenu' (sans accent)</t>
        </is>
      </c>
      <c r="E29" s="45" t="inlineStr">
        <is>
          <t>Résultats pertinents malgré l'absence d'accent</t>
        </is>
      </c>
      <c r="F29" s="42" t="inlineStr">
        <is>
          <t>HAUTE</t>
        </is>
      </c>
      <c r="G29" s="38" t="inlineStr">
        <is>
          <t>☐ À tester</t>
        </is>
      </c>
      <c r="H29" s="46" t="n"/>
      <c r="I29" s="40" t="n"/>
      <c r="J29" s="41" t="n"/>
      <c r="K29" s="46" t="n"/>
    </row>
    <row r="30" ht="30.6" customHeight="1">
      <c r="A30" s="56" t="inlineStr">
        <is>
          <t>Recherche</t>
        </is>
      </c>
      <c r="B30" s="44" t="inlineStr">
        <is>
          <t>RECH-04</t>
        </is>
      </c>
      <c r="C30" s="45" t="inlineStr">
        <is>
          <t>Recherche vocale</t>
        </is>
      </c>
      <c r="D30" s="45" t="inlineStr">
        <is>
          <t>Appuyer sur micro → dicter 'impôt sur les sociétés'</t>
        </is>
      </c>
      <c r="E30" s="45" t="inlineStr">
        <is>
          <t>Reconnaissance vocale, résultats IS affichés</t>
        </is>
      </c>
      <c r="F30" s="42" t="inlineStr">
        <is>
          <t>HAUTE</t>
        </is>
      </c>
      <c r="G30" s="38" t="inlineStr">
        <is>
          <t>☐ À tester</t>
        </is>
      </c>
      <c r="H30" s="46" t="n"/>
      <c r="I30" s="40" t="n"/>
      <c r="J30" s="41" t="n"/>
      <c r="K30" s="46" t="n"/>
    </row>
    <row r="31" ht="30.6" customHeight="1">
      <c r="A31" s="56" t="inlineStr">
        <is>
          <t>Recherche</t>
        </is>
      </c>
      <c r="B31" s="44" t="inlineStr">
        <is>
          <t>RECH-05</t>
        </is>
      </c>
      <c r="C31" s="45" t="inlineStr">
        <is>
          <t>Recherche sans résultat</t>
        </is>
      </c>
      <c r="D31" s="45" t="inlineStr">
        <is>
          <t>Taper une chaîne aléatoire (ex: 'zzqwerty123')</t>
        </is>
      </c>
      <c r="E31" s="45" t="inlineStr">
        <is>
          <t>Message 'Aucun résultat' proprement, pas de crash</t>
        </is>
      </c>
      <c r="F31" s="43" t="inlineStr">
        <is>
          <t>NORMALE</t>
        </is>
      </c>
      <c r="G31" s="38" t="inlineStr">
        <is>
          <t>☐ À tester</t>
        </is>
      </c>
      <c r="H31" s="46" t="n"/>
      <c r="I31" s="40" t="n"/>
      <c r="J31" s="41" t="n"/>
      <c r="K31" s="46" t="n"/>
    </row>
    <row r="32" ht="30.6" customHeight="1">
      <c r="A32" s="56" t="inlineStr">
        <is>
          <t>Recherche</t>
        </is>
      </c>
      <c r="B32" s="44" t="inlineStr">
        <is>
          <t>RECH-06</t>
        </is>
      </c>
      <c r="C32" s="45" t="inlineStr">
        <is>
          <t>Résultat → accès direct article</t>
        </is>
      </c>
      <c r="D32" s="45" t="inlineStr">
        <is>
          <t>Effectuer une recherche → tapper sur un résultat</t>
        </is>
      </c>
      <c r="E32" s="45" t="inlineStr">
        <is>
          <t>Article sélectionné s'ouvre en lecture</t>
        </is>
      </c>
      <c r="F32" s="42" t="inlineStr">
        <is>
          <t>HAUTE</t>
        </is>
      </c>
      <c r="G32" s="38" t="inlineStr">
        <is>
          <t>☐ À tester</t>
        </is>
      </c>
      <c r="H32" s="46" t="n"/>
      <c r="I32" s="40" t="n"/>
      <c r="J32" s="41" t="n"/>
      <c r="K32" s="46" t="n"/>
    </row>
    <row r="33" ht="30.6" customHeight="1">
      <c r="A33" s="55" t="inlineStr">
        <is>
          <t>Simulateurs</t>
        </is>
      </c>
      <c r="B33" s="35" t="inlineStr">
        <is>
          <t>SIM-01</t>
        </is>
      </c>
      <c r="C33" s="36" t="inlineStr">
        <is>
          <t>Simulateur ITS</t>
        </is>
      </c>
      <c r="D33" s="36" t="inlineStr">
        <is>
          <t>Salaire brut = 500 000 FCFA → calculer</t>
        </is>
      </c>
      <c r="E33" s="36" t="inlineStr">
        <is>
          <t>Résultat ITS correct avec barème, références articles citées</t>
        </is>
      </c>
      <c r="F33" s="37" t="inlineStr">
        <is>
          <t>CRITIQUE</t>
        </is>
      </c>
      <c r="G33" s="38" t="inlineStr">
        <is>
          <t>☐ À tester</t>
        </is>
      </c>
      <c r="H33" s="39" t="n"/>
      <c r="I33" s="40" t="n"/>
      <c r="J33" s="41" t="n"/>
      <c r="K33" s="39" t="n"/>
    </row>
    <row r="34" ht="30.6" customHeight="1">
      <c r="A34" s="55" t="inlineStr">
        <is>
          <t>Simulateurs</t>
        </is>
      </c>
      <c r="B34" s="35" t="inlineStr">
        <is>
          <t>SIM-02</t>
        </is>
      </c>
      <c r="C34" s="36" t="inlineStr">
        <is>
          <t>Simulateur IS</t>
        </is>
      </c>
      <c r="D34" s="36" t="inlineStr">
        <is>
          <t>Bénéfice imposable = 10 000 000 FCFA → calculer</t>
        </is>
      </c>
      <c r="E34" s="36" t="inlineStr">
        <is>
          <t>IS calculé selon taux en vigueur (30% ou 35%)</t>
        </is>
      </c>
      <c r="F34" s="37" t="inlineStr">
        <is>
          <t>CRITIQUE</t>
        </is>
      </c>
      <c r="G34" s="38" t="inlineStr">
        <is>
          <t>☐ À tester</t>
        </is>
      </c>
      <c r="H34" s="39" t="n"/>
      <c r="I34" s="40" t="n"/>
      <c r="J34" s="41" t="n"/>
      <c r="K34" s="39" t="n"/>
    </row>
    <row r="35" ht="30.6" customHeight="1">
      <c r="A35" s="55" t="inlineStr">
        <is>
          <t>Simulateurs</t>
        </is>
      </c>
      <c r="B35" s="35" t="inlineStr">
        <is>
          <t>SIM-03</t>
        </is>
      </c>
      <c r="C35" s="36" t="inlineStr">
        <is>
          <t>Simulateur TVA</t>
        </is>
      </c>
      <c r="D35" s="36" t="inlineStr">
        <is>
          <t>Montant HT = 1 000 000 FCFA → calculer</t>
        </is>
      </c>
      <c r="E35" s="36" t="inlineStr">
        <is>
          <t>TVA = 180 000 FCFA (18%), TTC affiché</t>
        </is>
      </c>
      <c r="F35" s="37" t="inlineStr">
        <is>
          <t>CRITIQUE</t>
        </is>
      </c>
      <c r="G35" s="38" t="inlineStr">
        <is>
          <t>☐ À tester</t>
        </is>
      </c>
      <c r="H35" s="39" t="n"/>
      <c r="I35" s="40" t="n"/>
      <c r="J35" s="41" t="n"/>
      <c r="K35" s="39" t="n"/>
    </row>
    <row r="36" ht="30.6" customHeight="1">
      <c r="A36" s="55" t="inlineStr">
        <is>
          <t>Simulateurs</t>
        </is>
      </c>
      <c r="B36" s="35" t="inlineStr">
        <is>
          <t>SIM-04</t>
        </is>
      </c>
      <c r="C36" s="36" t="inlineStr">
        <is>
          <t>Simulateur Paie Congo</t>
        </is>
      </c>
      <c r="D36" s="36" t="inlineStr">
        <is>
          <t>Brut = 300 000 + ancienneté 5 ans → simuler</t>
        </is>
      </c>
      <c r="E36" s="36" t="inlineStr">
        <is>
          <t>Fiche de paie avec cotisations CNSS, ITS, net à payer</t>
        </is>
      </c>
      <c r="F36" s="37" t="inlineStr">
        <is>
          <t>CRITIQUE</t>
        </is>
      </c>
      <c r="G36" s="38" t="inlineStr">
        <is>
          <t>☐ À tester</t>
        </is>
      </c>
      <c r="H36" s="39" t="n"/>
      <c r="I36" s="40" t="n"/>
      <c r="J36" s="41" t="n"/>
      <c r="K36" s="39" t="n"/>
    </row>
    <row r="37" ht="30.6" customHeight="1">
      <c r="A37" s="55" t="inlineStr">
        <is>
          <t>Simulateurs</t>
        </is>
      </c>
      <c r="B37" s="35" t="inlineStr">
        <is>
          <t>SIM-05</t>
        </is>
      </c>
      <c r="C37" s="36" t="inlineStr">
        <is>
          <t>Retenue à la Source</t>
        </is>
      </c>
      <c r="D37" s="36" t="inlineStr">
        <is>
          <t>Honoraire = 500 000 FCFA → RAS 10%</t>
        </is>
      </c>
      <c r="E37" s="36" t="inlineStr">
        <is>
          <t>RAS = 50 000 FCFA, montant net 450 000 FCFA</t>
        </is>
      </c>
      <c r="F37" s="42" t="inlineStr">
        <is>
          <t>HAUTE</t>
        </is>
      </c>
      <c r="G37" s="38" t="inlineStr">
        <is>
          <t>☐ À tester</t>
        </is>
      </c>
      <c r="H37" s="39" t="n"/>
      <c r="I37" s="40" t="n"/>
      <c r="J37" s="41" t="n"/>
      <c r="K37" s="39" t="n"/>
    </row>
    <row r="38" ht="30.6" customHeight="1">
      <c r="A38" s="55" t="inlineStr">
        <is>
          <t>Simulateurs</t>
        </is>
      </c>
      <c r="B38" s="35" t="inlineStr">
        <is>
          <t>SIM-06</t>
        </is>
      </c>
      <c r="C38" s="36" t="inlineStr">
        <is>
          <t>Simulateur Patente</t>
        </is>
      </c>
      <c r="D38" s="36" t="inlineStr">
        <is>
          <t>Renseigner CA + activité → calculer</t>
        </is>
      </c>
      <c r="E38" s="36" t="inlineStr">
        <is>
          <t>Montant patente calculé selon la grille réglementaire</t>
        </is>
      </c>
      <c r="F38" s="42" t="inlineStr">
        <is>
          <t>HAUTE</t>
        </is>
      </c>
      <c r="G38" s="38" t="inlineStr">
        <is>
          <t>☐ À tester</t>
        </is>
      </c>
      <c r="H38" s="39" t="n"/>
      <c r="I38" s="40" t="n"/>
      <c r="J38" s="41" t="n"/>
      <c r="K38" s="39" t="n"/>
    </row>
    <row r="39" ht="30.6" customHeight="1">
      <c r="A39" s="55" t="inlineStr">
        <is>
          <t>Simulateurs</t>
        </is>
      </c>
      <c r="B39" s="35" t="inlineStr">
        <is>
          <t>SIM-07</t>
        </is>
      </c>
      <c r="C39" s="36" t="inlineStr">
        <is>
          <t>Simulateur IBA</t>
        </is>
      </c>
      <c r="D39" s="36" t="inlineStr">
        <is>
          <t>Renseigner revenu agricole → calculer</t>
        </is>
      </c>
      <c r="E39" s="36" t="inlineStr">
        <is>
          <t>IBA calculé, barème affiché</t>
        </is>
      </c>
      <c r="F39" s="43" t="inlineStr">
        <is>
          <t>NORMALE</t>
        </is>
      </c>
      <c r="G39" s="38" t="inlineStr">
        <is>
          <t>☐ À tester</t>
        </is>
      </c>
      <c r="H39" s="39" t="n"/>
      <c r="I39" s="40" t="n"/>
      <c r="J39" s="41" t="n"/>
      <c r="K39" s="39" t="n"/>
    </row>
    <row r="40" ht="30.6" customHeight="1">
      <c r="A40" s="55" t="inlineStr">
        <is>
          <t>Simulateurs</t>
        </is>
      </c>
      <c r="B40" s="35" t="inlineStr">
        <is>
          <t>SIM-08</t>
        </is>
      </c>
      <c r="C40" s="36" t="inlineStr">
        <is>
          <t>Simulateur IRCM</t>
        </is>
      </c>
      <c r="D40" s="36" t="inlineStr">
        <is>
          <t>Dividendes = 2 000 000 FCFA → calculer</t>
        </is>
      </c>
      <c r="E40" s="36" t="inlineStr">
        <is>
          <t>IRCM calculé (taux 20% applicable)</t>
        </is>
      </c>
      <c r="F40" s="43" t="inlineStr">
        <is>
          <t>NORMALE</t>
        </is>
      </c>
      <c r="G40" s="38" t="inlineStr">
        <is>
          <t>☐ À tester</t>
        </is>
      </c>
      <c r="H40" s="39" t="n"/>
      <c r="I40" s="40" t="n"/>
      <c r="J40" s="41" t="n"/>
      <c r="K40" s="39" t="n"/>
    </row>
    <row r="41" ht="30.6" customHeight="1">
      <c r="A41" s="55" t="inlineStr">
        <is>
          <t>Simulateurs</t>
        </is>
      </c>
      <c r="B41" s="35" t="inlineStr">
        <is>
          <t>SIM-09</t>
        </is>
      </c>
      <c r="C41" s="36" t="inlineStr">
        <is>
          <t>Simulateur IRF (Loyers)</t>
        </is>
      </c>
      <c r="D41" s="36" t="inlineStr">
        <is>
          <t>Loyer mensuel = 200 000 FCFA → IRF annuel</t>
        </is>
      </c>
      <c r="E41" s="36" t="inlineStr">
        <is>
          <t>IRF calculé avec abattement forfaitaire</t>
        </is>
      </c>
      <c r="F41" s="43" t="inlineStr">
        <is>
          <t>NORMALE</t>
        </is>
      </c>
      <c r="G41" s="38" t="inlineStr">
        <is>
          <t>☐ À tester</t>
        </is>
      </c>
      <c r="H41" s="39" t="n"/>
      <c r="I41" s="40" t="n"/>
      <c r="J41" s="41" t="n"/>
      <c r="K41" s="39" t="n"/>
    </row>
    <row r="42" ht="30.6" customHeight="1">
      <c r="A42" s="55" t="inlineStr">
        <is>
          <t>Simulateurs</t>
        </is>
      </c>
      <c r="B42" s="35" t="inlineStr">
        <is>
          <t>SIM-10</t>
        </is>
      </c>
      <c r="C42" s="36" t="inlineStr">
        <is>
          <t>Taxe Immobilière</t>
        </is>
      </c>
      <c r="D42" s="36" t="inlineStr">
        <is>
          <t>Valeur vénale = 30 000 000 FCFA → calculer</t>
        </is>
      </c>
      <c r="E42" s="36" t="inlineStr">
        <is>
          <t>Taxe calculée selon le taux applicable</t>
        </is>
      </c>
      <c r="F42" s="43" t="inlineStr">
        <is>
          <t>NORMALE</t>
        </is>
      </c>
      <c r="G42" s="38" t="inlineStr">
        <is>
          <t>☐ À tester</t>
        </is>
      </c>
      <c r="H42" s="39" t="n"/>
      <c r="I42" s="40" t="n"/>
      <c r="J42" s="41" t="n"/>
      <c r="K42" s="39" t="n"/>
    </row>
    <row r="43" ht="30.6" customHeight="1">
      <c r="A43" s="55" t="inlineStr">
        <is>
          <t>Simulateurs</t>
        </is>
      </c>
      <c r="B43" s="35" t="inlineStr">
        <is>
          <t>SIM-11</t>
        </is>
      </c>
      <c r="C43" s="36" t="inlineStr">
        <is>
          <t>Droits d'Enregistrement</t>
        </is>
      </c>
      <c r="D43" s="36" t="inlineStr">
        <is>
          <t>Saisir valeur de cession → calculer</t>
        </is>
      </c>
      <c r="E43" s="36" t="inlineStr">
        <is>
          <t>Droits calculés selon la nature de l'acte</t>
        </is>
      </c>
      <c r="F43" s="43" t="inlineStr">
        <is>
          <t>NORMALE</t>
        </is>
      </c>
      <c r="G43" s="38" t="inlineStr">
        <is>
          <t>☐ À tester</t>
        </is>
      </c>
      <c r="H43" s="39" t="n"/>
      <c r="I43" s="40" t="n"/>
      <c r="J43" s="41" t="n"/>
      <c r="K43" s="39" t="n"/>
    </row>
    <row r="44" ht="30.6" customHeight="1">
      <c r="A44" s="55" t="inlineStr">
        <is>
          <t>Simulateurs</t>
        </is>
      </c>
      <c r="B44" s="35" t="inlineStr">
        <is>
          <t>SIM-12</t>
        </is>
      </c>
      <c r="C44" s="36" t="inlineStr">
        <is>
          <t>Cession de Parts Sociales</t>
        </is>
      </c>
      <c r="D44" s="36" t="inlineStr">
        <is>
          <t>Prix cession = 5 000 000 FCFA → calculer</t>
        </is>
      </c>
      <c r="E44" s="36" t="inlineStr">
        <is>
          <t>Droits de cession calculés avec références CGI</t>
        </is>
      </c>
      <c r="F44" s="43" t="inlineStr">
        <is>
          <t>NORMALE</t>
        </is>
      </c>
      <c r="G44" s="38" t="inlineStr">
        <is>
          <t>☐ À tester</t>
        </is>
      </c>
      <c r="H44" s="39" t="n"/>
      <c r="I44" s="40" t="n"/>
      <c r="J44" s="41" t="n"/>
      <c r="K44" s="39" t="n"/>
    </row>
    <row r="45" ht="30.6" customHeight="1">
      <c r="A45" s="55" t="inlineStr">
        <is>
          <t>Simulateurs</t>
        </is>
      </c>
      <c r="B45" s="35" t="inlineStr">
        <is>
          <t>SIM-13</t>
        </is>
      </c>
      <c r="C45" s="36" t="inlineStr">
        <is>
          <t>Contribution Foncière</t>
        </is>
      </c>
      <c r="D45" s="36" t="inlineStr">
        <is>
          <t>Saisir surface + localisation → calculer</t>
        </is>
      </c>
      <c r="E45" s="36" t="inlineStr">
        <is>
          <t>Contribution foncière calculée</t>
        </is>
      </c>
      <c r="F45" s="43" t="inlineStr">
        <is>
          <t>NORMALE</t>
        </is>
      </c>
      <c r="G45" s="38" t="inlineStr">
        <is>
          <t>☐ À tester</t>
        </is>
      </c>
      <c r="H45" s="39" t="n"/>
      <c r="I45" s="40" t="n"/>
      <c r="J45" s="41" t="n"/>
      <c r="K45" s="39" t="n"/>
    </row>
    <row r="46" ht="30.6" customHeight="1">
      <c r="A46" s="55" t="inlineStr">
        <is>
          <t>Simulateurs</t>
        </is>
      </c>
      <c r="B46" s="35" t="inlineStr">
        <is>
          <t>SIM-14</t>
        </is>
      </c>
      <c r="C46" s="36" t="inlineStr">
        <is>
          <t>Simulateur IGF</t>
        </is>
      </c>
      <c r="D46" s="36" t="inlineStr">
        <is>
          <t>Patrimoine net = 500 000 000 FCFA → calculer</t>
        </is>
      </c>
      <c r="E46" s="36" t="inlineStr">
        <is>
          <t>IGF calculé selon barème IGF</t>
        </is>
      </c>
      <c r="F46" s="43" t="inlineStr">
        <is>
          <t>NORMALE</t>
        </is>
      </c>
      <c r="G46" s="38" t="inlineStr">
        <is>
          <t>☐ À tester</t>
        </is>
      </c>
      <c r="H46" s="39" t="n"/>
      <c r="I46" s="40" t="n"/>
      <c r="J46" s="41" t="n"/>
      <c r="K46" s="39" t="n"/>
    </row>
    <row r="47" ht="30.6" customHeight="1">
      <c r="A47" s="55" t="inlineStr">
        <is>
          <t>Simulateurs</t>
        </is>
      </c>
      <c r="B47" s="35" t="inlineStr">
        <is>
          <t>SIM-15</t>
        </is>
      </c>
      <c r="C47" s="36" t="inlineStr">
        <is>
          <t>IS Parapétrolier</t>
        </is>
      </c>
      <c r="D47" s="36" t="inlineStr">
        <is>
          <t>Saisir résultat fiscal parapétrolier → calculer</t>
        </is>
      </c>
      <c r="E47" s="36" t="inlineStr">
        <is>
          <t>IS avec taux parapétrolier appliqué</t>
        </is>
      </c>
      <c r="F47" s="42" t="inlineStr">
        <is>
          <t>HAUTE</t>
        </is>
      </c>
      <c r="G47" s="38" t="inlineStr">
        <is>
          <t>☐ À tester</t>
        </is>
      </c>
      <c r="H47" s="39" t="n"/>
      <c r="I47" s="40" t="n"/>
      <c r="J47" s="41" t="n"/>
      <c r="K47" s="39" t="n"/>
    </row>
    <row r="48" ht="30.6" customHeight="1">
      <c r="A48" s="55" t="inlineStr">
        <is>
          <t>Simulateurs</t>
        </is>
      </c>
      <c r="B48" s="35" t="inlineStr">
        <is>
          <t>SIM-16</t>
        </is>
      </c>
      <c r="C48" s="36" t="inlineStr">
        <is>
          <t>Solde de Liquidation</t>
        </is>
      </c>
      <c r="D48" s="36" t="inlineStr">
        <is>
          <t>Renseigner actifs nets → calculer</t>
        </is>
      </c>
      <c r="E48" s="36" t="inlineStr">
        <is>
          <t>Impôt sur solde de liquidation calculé</t>
        </is>
      </c>
      <c r="F48" s="43" t="inlineStr">
        <is>
          <t>NORMALE</t>
        </is>
      </c>
      <c r="G48" s="38" t="inlineStr">
        <is>
          <t>☐ À tester</t>
        </is>
      </c>
      <c r="H48" s="39" t="n"/>
      <c r="I48" s="40" t="n"/>
      <c r="J48" s="41" t="n"/>
      <c r="K48" s="39" t="n"/>
    </row>
    <row r="49" ht="30.6" customHeight="1">
      <c r="A49" s="55" t="inlineStr">
        <is>
          <t>Simulateurs</t>
        </is>
      </c>
      <c r="B49" s="35" t="inlineStr">
        <is>
          <t>SIM-17</t>
        </is>
      </c>
      <c r="C49" s="36" t="inlineStr">
        <is>
          <t>Lien article de référence depuis simulateur</t>
        </is>
      </c>
      <c r="D49" s="36" t="inlineStr">
        <is>
          <t>Après calcul, appuyer sur l'article cité</t>
        </is>
      </c>
      <c r="E49" s="36" t="inlineStr">
        <is>
          <t>Article CGI de référence s'ouvre directement</t>
        </is>
      </c>
      <c r="F49" s="42" t="inlineStr">
        <is>
          <t>HAUTE</t>
        </is>
      </c>
      <c r="G49" s="38" t="inlineStr">
        <is>
          <t>☐ À tester</t>
        </is>
      </c>
      <c r="H49" s="39" t="n"/>
      <c r="I49" s="40" t="n"/>
      <c r="J49" s="41" t="n"/>
      <c r="K49" s="39" t="n"/>
    </row>
    <row r="50" ht="30.6" customHeight="1">
      <c r="A50" s="55" t="inlineStr">
        <is>
          <t>Simulateurs</t>
        </is>
      </c>
      <c r="B50" s="35" t="inlineStr">
        <is>
          <t>SIM-18</t>
        </is>
      </c>
      <c r="C50" s="36" t="inlineStr">
        <is>
          <t>Saisie invalide (lettres dans champ num.)</t>
        </is>
      </c>
      <c r="D50" s="36" t="inlineStr">
        <is>
          <t>Taper 'abc' dans un champ numérique</t>
        </is>
      </c>
      <c r="E50" s="36" t="inlineStr">
        <is>
          <t>Message d'erreur, pas de crash</t>
        </is>
      </c>
      <c r="F50" s="42" t="inlineStr">
        <is>
          <t>HAUTE</t>
        </is>
      </c>
      <c r="G50" s="38" t="inlineStr">
        <is>
          <t>☐ À tester</t>
        </is>
      </c>
      <c r="H50" s="39" t="n"/>
      <c r="I50" s="40" t="n"/>
      <c r="J50" s="41" t="n"/>
      <c r="K50" s="39" t="n"/>
    </row>
    <row r="51" ht="30.6" customHeight="1">
      <c r="A51" s="55" t="inlineStr">
        <is>
          <t>Simulateurs</t>
        </is>
      </c>
      <c r="B51" s="35" t="inlineStr">
        <is>
          <t>SIM-19</t>
        </is>
      </c>
      <c r="C51" s="36" t="inlineStr">
        <is>
          <t>Remise à zéro simulateur</t>
        </is>
      </c>
      <c r="D51" s="36" t="inlineStr">
        <is>
          <t>Après calcul → Réinitialiser</t>
        </is>
      </c>
      <c r="E51" s="36" t="inlineStr">
        <is>
          <t>Tous les champs remis à zéro</t>
        </is>
      </c>
      <c r="F51" s="43" t="inlineStr">
        <is>
          <t>NORMALE</t>
        </is>
      </c>
      <c r="G51" s="38" t="inlineStr">
        <is>
          <t>☐ À tester</t>
        </is>
      </c>
      <c r="H51" s="39" t="n"/>
      <c r="I51" s="40" t="n"/>
      <c r="J51" s="41" t="n"/>
      <c r="K51" s="39" t="n"/>
    </row>
    <row r="52" ht="30.6" customHeight="1">
      <c r="A52" s="56" t="inlineStr">
        <is>
          <t>Assistant IA</t>
        </is>
      </c>
      <c r="B52" s="44" t="inlineStr">
        <is>
          <t>IA-01</t>
        </is>
      </c>
      <c r="C52" s="45" t="inlineStr">
        <is>
          <t>Question fiscale générale</t>
        </is>
      </c>
      <c r="D52" s="45" t="inlineStr">
        <is>
          <t>Taper: 'Quel est le taux d'IS au Congo-Brazzaville ?'</t>
        </is>
      </c>
      <c r="E52" s="45" t="inlineStr">
        <is>
          <t>Réponse correcte avec citation article source</t>
        </is>
      </c>
      <c r="F52" s="37" t="inlineStr">
        <is>
          <t>CRITIQUE</t>
        </is>
      </c>
      <c r="G52" s="38" t="inlineStr">
        <is>
          <t>☐ À tester</t>
        </is>
      </c>
      <c r="H52" s="46" t="n"/>
      <c r="I52" s="40" t="n"/>
      <c r="J52" s="41" t="n"/>
      <c r="K52" s="46" t="n"/>
    </row>
    <row r="53" ht="30.6" customHeight="1">
      <c r="A53" s="56" t="inlineStr">
        <is>
          <t>Assistant IA</t>
        </is>
      </c>
      <c r="B53" s="44" t="inlineStr">
        <is>
          <t>IA-02</t>
        </is>
      </c>
      <c r="C53" s="45" t="inlineStr">
        <is>
          <t>Question sur article spécifique</t>
        </is>
      </c>
      <c r="D53" s="45" t="inlineStr">
        <is>
          <t>Taper: 'Que dit l'article 147 du CGI ?'</t>
        </is>
      </c>
      <c r="E53" s="45" t="inlineStr">
        <is>
          <t>Résumé fidèle + lien cliquable vers l'article</t>
        </is>
      </c>
      <c r="F53" s="37" t="inlineStr">
        <is>
          <t>CRITIQUE</t>
        </is>
      </c>
      <c r="G53" s="38" t="inlineStr">
        <is>
          <t>☐ À tester</t>
        </is>
      </c>
      <c r="H53" s="46" t="n"/>
      <c r="I53" s="40" t="n"/>
      <c r="J53" s="41" t="n"/>
      <c r="K53" s="46" t="n"/>
    </row>
    <row r="54" ht="30.6" customHeight="1">
      <c r="A54" s="56" t="inlineStr">
        <is>
          <t>Assistant IA</t>
        </is>
      </c>
      <c r="B54" s="44" t="inlineStr">
        <is>
          <t>IA-03</t>
        </is>
      </c>
      <c r="C54" s="45" t="inlineStr">
        <is>
          <t>Question sur la TVA</t>
        </is>
      </c>
      <c r="D54" s="45" t="inlineStr">
        <is>
          <t>Taper: 'Quelles opérations sont exonérées de TVA ?'</t>
        </is>
      </c>
      <c r="E54" s="45" t="inlineStr">
        <is>
          <t>Liste des exonérations TVA avec articles</t>
        </is>
      </c>
      <c r="F54" s="42" t="inlineStr">
        <is>
          <t>HAUTE</t>
        </is>
      </c>
      <c r="G54" s="38" t="inlineStr">
        <is>
          <t>☐ À tester</t>
        </is>
      </c>
      <c r="H54" s="46" t="n"/>
      <c r="I54" s="40" t="n"/>
      <c r="J54" s="41" t="n"/>
      <c r="K54" s="46" t="n"/>
    </row>
    <row r="55" ht="30.6" customHeight="1">
      <c r="A55" s="56" t="inlineStr">
        <is>
          <t>Assistant IA</t>
        </is>
      </c>
      <c r="B55" s="44" t="inlineStr">
        <is>
          <t>IA-04</t>
        </is>
      </c>
      <c r="C55" s="45" t="inlineStr">
        <is>
          <t>Question calcul ITS</t>
        </is>
      </c>
      <c r="D55" s="45" t="inlineStr">
        <is>
          <t>Taper: 'Comment calculer l'ITS sur 600 000 FCFA ?'</t>
        </is>
      </c>
      <c r="E55" s="45" t="inlineStr">
        <is>
          <t>Calcul ITS détaillé pas à pas avec barème</t>
        </is>
      </c>
      <c r="F55" s="42" t="inlineStr">
        <is>
          <t>HAUTE</t>
        </is>
      </c>
      <c r="G55" s="38" t="inlineStr">
        <is>
          <t>☐ À tester</t>
        </is>
      </c>
      <c r="H55" s="46" t="n"/>
      <c r="I55" s="40" t="n"/>
      <c r="J55" s="41" t="n"/>
      <c r="K55" s="46" t="n"/>
    </row>
    <row r="56" ht="30.6" customHeight="1">
      <c r="A56" s="56" t="inlineStr">
        <is>
          <t>Assistant IA</t>
        </is>
      </c>
      <c r="B56" s="44" t="inlineStr">
        <is>
          <t>IA-05</t>
        </is>
      </c>
      <c r="C56" s="45" t="inlineStr">
        <is>
          <t>Question hors scope CGI</t>
        </is>
      </c>
      <c r="D56" s="45" t="inlineStr">
        <is>
          <t>Taper: 'Quelle est la capitale de la France ?'</t>
        </is>
      </c>
      <c r="E56" s="45" t="inlineStr">
        <is>
          <t>Réponse indiquant que l'IA est spécialisée CGI 242</t>
        </is>
      </c>
      <c r="F56" s="43" t="inlineStr">
        <is>
          <t>NORMALE</t>
        </is>
      </c>
      <c r="G56" s="38" t="inlineStr">
        <is>
          <t>☐ À tester</t>
        </is>
      </c>
      <c r="H56" s="46" t="n"/>
      <c r="I56" s="40" t="n"/>
      <c r="J56" s="41" t="n"/>
      <c r="K56" s="46" t="n"/>
    </row>
    <row r="57" ht="30.6" customHeight="1">
      <c r="A57" s="56" t="inlineStr">
        <is>
          <t>Assistant IA</t>
        </is>
      </c>
      <c r="B57" s="44" t="inlineStr">
        <is>
          <t>IA-06</t>
        </is>
      </c>
      <c r="C57" s="45" t="inlineStr">
        <is>
          <t>Citation article cliquable</t>
        </is>
      </c>
      <c r="D57" s="45" t="inlineStr">
        <is>
          <t>Poser une question → cliquer sur l'article cité</t>
        </is>
      </c>
      <c r="E57" s="45" t="inlineStr">
        <is>
          <t>L'article CGI s'ouvre dans le module CGI</t>
        </is>
      </c>
      <c r="F57" s="37" t="inlineStr">
        <is>
          <t>CRITIQUE</t>
        </is>
      </c>
      <c r="G57" s="38" t="inlineStr">
        <is>
          <t>☐ À tester</t>
        </is>
      </c>
      <c r="H57" s="46" t="n"/>
      <c r="I57" s="40" t="n"/>
      <c r="J57" s="41" t="n"/>
      <c r="K57" s="46" t="n"/>
    </row>
    <row r="58" ht="30.6" customHeight="1">
      <c r="A58" s="56" t="inlineStr">
        <is>
          <t>Assistant IA</t>
        </is>
      </c>
      <c r="B58" s="44" t="inlineStr">
        <is>
          <t>IA-07</t>
        </is>
      </c>
      <c r="C58" s="45" t="inlineStr">
        <is>
          <t>Streaming temps réel</t>
        </is>
      </c>
      <c r="D58" s="45" t="inlineStr">
        <is>
          <t>Poser une question et observer l'affichage</t>
        </is>
      </c>
      <c r="E58" s="45" t="inlineStr">
        <is>
          <t>Réponse apparaît mot par mot, indicateur visible</t>
        </is>
      </c>
      <c r="F58" s="42" t="inlineStr">
        <is>
          <t>HAUTE</t>
        </is>
      </c>
      <c r="G58" s="38" t="inlineStr">
        <is>
          <t>☐ À tester</t>
        </is>
      </c>
      <c r="H58" s="46" t="n"/>
      <c r="I58" s="40" t="n"/>
      <c r="J58" s="41" t="n"/>
      <c r="K58" s="46" t="n"/>
    </row>
    <row r="59" ht="30.6" customHeight="1">
      <c r="A59" s="56" t="inlineStr">
        <is>
          <t>Assistant IA</t>
        </is>
      </c>
      <c r="B59" s="44" t="inlineStr">
        <is>
          <t>IA-08</t>
        </is>
      </c>
      <c r="C59" s="45" t="inlineStr">
        <is>
          <t>Compteur de questions (quota)</t>
        </is>
      </c>
      <c r="D59" s="45" t="inlineStr">
        <is>
          <t>Vérifier le quota restant dans l'interface IA</t>
        </is>
      </c>
      <c r="E59" s="45" t="inlineStr">
        <is>
          <t>Compteur affiché (ex: 14/15 questions restantes)</t>
        </is>
      </c>
      <c r="F59" s="42" t="inlineStr">
        <is>
          <t>HAUTE</t>
        </is>
      </c>
      <c r="G59" s="38" t="inlineStr">
        <is>
          <t>☐ À tester</t>
        </is>
      </c>
      <c r="H59" s="46" t="n"/>
      <c r="I59" s="40" t="n"/>
      <c r="J59" s="41" t="n"/>
      <c r="K59" s="46" t="n"/>
    </row>
    <row r="60" ht="30.6" customHeight="1">
      <c r="A60" s="56" t="inlineStr">
        <is>
          <t>Assistant IA</t>
        </is>
      </c>
      <c r="B60" s="44" t="inlineStr">
        <is>
          <t>IA-09</t>
        </is>
      </c>
      <c r="C60" s="45" t="inlineStr">
        <is>
          <t>Quota épuisé - message upgrade</t>
        </is>
      </c>
      <c r="D60" s="45" t="inlineStr">
        <is>
          <t>Épuiser le quota → envoyer une nouvelle question</t>
        </is>
      </c>
      <c r="E60" s="45" t="inlineStr">
        <is>
          <t>Message clair d'upgrade, pas de crash</t>
        </is>
      </c>
      <c r="F60" s="37" t="inlineStr">
        <is>
          <t>CRITIQUE</t>
        </is>
      </c>
      <c r="G60" s="38" t="inlineStr">
        <is>
          <t>☐ À tester</t>
        </is>
      </c>
      <c r="H60" s="46" t="n"/>
      <c r="I60" s="40" t="n"/>
      <c r="J60" s="41" t="n"/>
      <c r="K60" s="46" t="n"/>
    </row>
    <row r="61" ht="30.6" customHeight="1">
      <c r="A61" s="56" t="inlineStr">
        <is>
          <t>Assistant IA</t>
        </is>
      </c>
      <c r="B61" s="44" t="inlineStr">
        <is>
          <t>IA-10</t>
        </is>
      </c>
      <c r="C61" s="45" t="inlineStr">
        <is>
          <t>Historique de conversation</t>
        </is>
      </c>
      <c r="D61" s="45" t="inlineStr">
        <is>
          <t>Poser 3 questions → observer le fil</t>
        </is>
      </c>
      <c r="E61" s="45" t="inlineStr">
        <is>
          <t>Historique conservé dans la session</t>
        </is>
      </c>
      <c r="F61" s="43" t="inlineStr">
        <is>
          <t>NORMALE</t>
        </is>
      </c>
      <c r="G61" s="38" t="inlineStr">
        <is>
          <t>☐ À tester</t>
        </is>
      </c>
      <c r="H61" s="46" t="n"/>
      <c r="I61" s="40" t="n"/>
      <c r="J61" s="41" t="n"/>
      <c r="K61" s="46" t="n"/>
    </row>
    <row r="62" ht="30.6" customHeight="1">
      <c r="A62" s="56" t="inlineStr">
        <is>
          <t>Assistant IA</t>
        </is>
      </c>
      <c r="B62" s="44" t="inlineStr">
        <is>
          <t>IA-11</t>
        </is>
      </c>
      <c r="C62" s="45" t="inlineStr">
        <is>
          <t>Suggestions pré-saisies (Home IA)</t>
        </is>
      </c>
      <c r="D62" s="45" t="inlineStr">
        <is>
          <t>Accéder à l'onglet IA sans rien écrire</t>
        </is>
      </c>
      <c r="E62" s="45" t="inlineStr">
        <is>
          <t>4 suggestions de questions s'affichent</t>
        </is>
      </c>
      <c r="F62" s="43" t="inlineStr">
        <is>
          <t>NORMALE</t>
        </is>
      </c>
      <c r="G62" s="38" t="inlineStr">
        <is>
          <t>☐ À tester</t>
        </is>
      </c>
      <c r="H62" s="46" t="n"/>
      <c r="I62" s="40" t="n"/>
      <c r="J62" s="41" t="n"/>
      <c r="K62" s="46" t="n"/>
    </row>
    <row r="63" ht="30.6" customHeight="1">
      <c r="A63" s="56" t="inlineStr">
        <is>
          <t>Assistant IA</t>
        </is>
      </c>
      <c r="B63" s="44" t="inlineStr">
        <is>
          <t>IA-12</t>
        </is>
      </c>
      <c r="C63" s="45" t="inlineStr">
        <is>
          <t>Sélection d'une suggestion</t>
        </is>
      </c>
      <c r="D63" s="45" t="inlineStr">
        <is>
          <t>Tapper sur une des suggestions proposées</t>
        </is>
      </c>
      <c r="E63" s="45" t="inlineStr">
        <is>
          <t>La suggestion se charge, réponse IA s'affiche</t>
        </is>
      </c>
      <c r="F63" s="43" t="inlineStr">
        <is>
          <t>NORMALE</t>
        </is>
      </c>
      <c r="G63" s="38" t="inlineStr">
        <is>
          <t>☐ À tester</t>
        </is>
      </c>
      <c r="H63" s="46" t="n"/>
      <c r="I63" s="40" t="n"/>
      <c r="J63" s="41" t="n"/>
      <c r="K63" s="46" t="n"/>
    </row>
    <row r="64" ht="30.6" customHeight="1">
      <c r="A64" s="55" t="inlineStr">
        <is>
          <t>Calendrier Fiscal</t>
        </is>
      </c>
      <c r="B64" s="35" t="inlineStr">
        <is>
          <t>CAL-01</t>
        </is>
      </c>
      <c r="C64" s="36" t="inlineStr">
        <is>
          <t>Affichage du calendrier fiscal</t>
        </is>
      </c>
      <c r="D64" s="36" t="inlineStr">
        <is>
          <t>Aller dans Plus → Calendrier fiscal</t>
        </is>
      </c>
      <c r="E64" s="36" t="inlineStr">
        <is>
          <t>Toutes les échéances 2026 affichées (TVA, IS, ITS, Patente...)</t>
        </is>
      </c>
      <c r="F64" s="42" t="inlineStr">
        <is>
          <t>HAUTE</t>
        </is>
      </c>
      <c r="G64" s="38" t="inlineStr">
        <is>
          <t>☐ À tester</t>
        </is>
      </c>
      <c r="H64" s="39" t="n"/>
      <c r="I64" s="40" t="n"/>
      <c r="J64" s="41" t="n"/>
      <c r="K64" s="39" t="n"/>
    </row>
    <row r="65" ht="30.6" customHeight="1">
      <c r="A65" s="55" t="inlineStr">
        <is>
          <t>Calendrier Fiscal</t>
        </is>
      </c>
      <c r="B65" s="35" t="inlineStr">
        <is>
          <t>CAL-02</t>
        </is>
      </c>
      <c r="C65" s="36" t="inlineStr">
        <is>
          <t>Détail d'une échéance</t>
        </is>
      </c>
      <c r="D65" s="36" t="inlineStr">
        <is>
          <t>Tapper sur une échéance (ex: TVA Avril)</t>
        </is>
      </c>
      <c r="E65" s="36" t="inlineStr">
        <is>
          <t>Détail: date limite, impôt, article de référence</t>
        </is>
      </c>
      <c r="F65" s="42" t="inlineStr">
        <is>
          <t>HAUTE</t>
        </is>
      </c>
      <c r="G65" s="38" t="inlineStr">
        <is>
          <t>☐ À tester</t>
        </is>
      </c>
      <c r="H65" s="39" t="n"/>
      <c r="I65" s="40" t="n"/>
      <c r="J65" s="41" t="n"/>
      <c r="K65" s="39" t="n"/>
    </row>
    <row r="66" ht="30.6" customHeight="1">
      <c r="A66" s="55" t="inlineStr">
        <is>
          <t>Calendrier Fiscal</t>
        </is>
      </c>
      <c r="B66" s="35" t="inlineStr">
        <is>
          <t>CAL-03</t>
        </is>
      </c>
      <c r="C66" s="36" t="inlineStr">
        <is>
          <t>Notification push J-5</t>
        </is>
      </c>
      <c r="D66" s="36" t="inlineStr">
        <is>
          <t>Vérifier une notification de rappel</t>
        </is>
      </c>
      <c r="E66" s="36" t="inlineStr">
        <is>
          <t>Notification reçue 5 jours avant l'échéance</t>
        </is>
      </c>
      <c r="F66" s="42" t="inlineStr">
        <is>
          <t>HAUTE</t>
        </is>
      </c>
      <c r="G66" s="38" t="inlineStr">
        <is>
          <t>☐ À tester</t>
        </is>
      </c>
      <c r="H66" s="39" t="n"/>
      <c r="I66" s="40" t="n"/>
      <c r="J66" s="41" t="n"/>
      <c r="K66" s="39" t="n"/>
    </row>
    <row r="67" ht="30.6" customHeight="1">
      <c r="A67" s="55" t="inlineStr">
        <is>
          <t>Calendrier Fiscal</t>
        </is>
      </c>
      <c r="B67" s="35" t="inlineStr">
        <is>
          <t>CAL-04</t>
        </is>
      </c>
      <c r="C67" s="36" t="inlineStr">
        <is>
          <t>Filtrer par type d'impôt</t>
        </is>
      </c>
      <c r="D67" s="36" t="inlineStr">
        <is>
          <t>Filtrer le calendrier sur 'IS seulement'</t>
        </is>
      </c>
      <c r="E67" s="36" t="inlineStr">
        <is>
          <t>Seules les échéances IS affichées</t>
        </is>
      </c>
      <c r="F67" s="43" t="inlineStr">
        <is>
          <t>NORMALE</t>
        </is>
      </c>
      <c r="G67" s="38" t="inlineStr">
        <is>
          <t>☐ À tester</t>
        </is>
      </c>
      <c r="H67" s="39" t="n"/>
      <c r="I67" s="40" t="n"/>
      <c r="J67" s="41" t="n"/>
      <c r="K67" s="39" t="n"/>
    </row>
    <row r="68" ht="30.6" customHeight="1">
      <c r="A68" s="56" t="inlineStr">
        <is>
          <t>Profil &amp; Abonnement</t>
        </is>
      </c>
      <c r="B68" s="44" t="inlineStr">
        <is>
          <t>PROF-01</t>
        </is>
      </c>
      <c r="C68" s="45" t="inlineStr">
        <is>
          <t>Affichage informations compte</t>
        </is>
      </c>
      <c r="D68" s="45" t="inlineStr">
        <is>
          <t>Aller dans Profil</t>
        </is>
      </c>
      <c r="E68" s="45" t="inlineStr">
        <is>
          <t>Nom, email, plan actuel, quota restant affichés</t>
        </is>
      </c>
      <c r="F68" s="42" t="inlineStr">
        <is>
          <t>HAUTE</t>
        </is>
      </c>
      <c r="G68" s="38" t="inlineStr">
        <is>
          <t>☐ À tester</t>
        </is>
      </c>
      <c r="H68" s="46" t="n"/>
      <c r="I68" s="40" t="n"/>
      <c r="J68" s="41" t="n"/>
      <c r="K68" s="46" t="n"/>
    </row>
    <row r="69" ht="30.6" customHeight="1">
      <c r="A69" s="56" t="inlineStr">
        <is>
          <t>Profil &amp; Abonnement</t>
        </is>
      </c>
      <c r="B69" s="44" t="inlineStr">
        <is>
          <t>PROF-02</t>
        </is>
      </c>
      <c r="C69" s="45" t="inlineStr">
        <is>
          <t>Modification du profil</t>
        </is>
      </c>
      <c r="D69" s="45" t="inlineStr">
        <is>
          <t>Modifier le nom → Sauvegarder</t>
        </is>
      </c>
      <c r="E69" s="45" t="inlineStr">
        <is>
          <t>Nom mis à jour, confirmation affichée</t>
        </is>
      </c>
      <c r="F69" s="43" t="inlineStr">
        <is>
          <t>NORMALE</t>
        </is>
      </c>
      <c r="G69" s="38" t="inlineStr">
        <is>
          <t>☐ À tester</t>
        </is>
      </c>
      <c r="H69" s="46" t="n"/>
      <c r="I69" s="40" t="n"/>
      <c r="J69" s="41" t="n"/>
      <c r="K69" s="46" t="n"/>
    </row>
    <row r="70" ht="30.6" customHeight="1">
      <c r="A70" s="56" t="inlineStr">
        <is>
          <t>Profil &amp; Abonnement</t>
        </is>
      </c>
      <c r="B70" s="44" t="inlineStr">
        <is>
          <t>PROF-03</t>
        </is>
      </c>
      <c r="C70" s="45" t="inlineStr">
        <is>
          <t>Affichage du plan actuel</t>
        </is>
      </c>
      <c r="D70" s="45" t="inlineStr">
        <is>
          <t>Observer la section abonnement dans Profil</t>
        </is>
      </c>
      <c r="E70" s="45" t="inlineStr">
        <is>
          <t>Plan actif (FREE/STARTER/PRO/TEAM/ENTERPRISE) affiché</t>
        </is>
      </c>
      <c r="F70" s="42" t="inlineStr">
        <is>
          <t>HAUTE</t>
        </is>
      </c>
      <c r="G70" s="38" t="inlineStr">
        <is>
          <t>☐ À tester</t>
        </is>
      </c>
      <c r="H70" s="46" t="n"/>
      <c r="I70" s="40" t="n"/>
      <c r="J70" s="41" t="n"/>
      <c r="K70" s="46" t="n"/>
    </row>
    <row r="71" ht="30.6" customHeight="1">
      <c r="A71" s="56" t="inlineStr">
        <is>
          <t>Profil &amp; Abonnement</t>
        </is>
      </c>
      <c r="B71" s="44" t="inlineStr">
        <is>
          <t>PROF-04</t>
        </is>
      </c>
      <c r="C71" s="45" t="inlineStr">
        <is>
          <t>Passage à un plan supérieur</t>
        </is>
      </c>
      <c r="D71" s="45" t="inlineStr">
        <is>
          <t>Tapper sur 'Améliorer mon plan'</t>
        </is>
      </c>
      <c r="E71" s="45" t="inlineStr">
        <is>
          <t>Page de souscription ouverte avec les plans disponibles</t>
        </is>
      </c>
      <c r="F71" s="42" t="inlineStr">
        <is>
          <t>HAUTE</t>
        </is>
      </c>
      <c r="G71" s="38" t="inlineStr">
        <is>
          <t>☐ À tester</t>
        </is>
      </c>
      <c r="H71" s="46" t="n"/>
      <c r="I71" s="40" t="n"/>
      <c r="J71" s="41" t="n"/>
      <c r="K71" s="46" t="n"/>
    </row>
    <row r="72" ht="30.6" customHeight="1">
      <c r="A72" s="56" t="inlineStr">
        <is>
          <t>Profil &amp; Abonnement</t>
        </is>
      </c>
      <c r="B72" s="44" t="inlineStr">
        <is>
          <t>PROF-05</t>
        </is>
      </c>
      <c r="C72" s="45" t="inlineStr">
        <is>
          <t>Accès liste Favoris</t>
        </is>
      </c>
      <c r="D72" s="45" t="inlineStr">
        <is>
          <t>Profil → Favoris</t>
        </is>
      </c>
      <c r="E72" s="45" t="inlineStr">
        <is>
          <t>Tous les articles mis en favoris listés</t>
        </is>
      </c>
      <c r="F72" s="43" t="inlineStr">
        <is>
          <t>NORMALE</t>
        </is>
      </c>
      <c r="G72" s="38" t="inlineStr">
        <is>
          <t>☐ À tester</t>
        </is>
      </c>
      <c r="H72" s="46" t="n"/>
      <c r="I72" s="40" t="n"/>
      <c r="J72" s="41" t="n"/>
      <c r="K72" s="46" t="n"/>
    </row>
    <row r="73" ht="30.6" customHeight="1">
      <c r="A73" s="56" t="inlineStr">
        <is>
          <t>Profil &amp; Abonnement</t>
        </is>
      </c>
      <c r="B73" s="44" t="inlineStr">
        <is>
          <t>PROF-06</t>
        </is>
      </c>
      <c r="C73" s="45" t="inlineStr">
        <is>
          <t>Paramètre langue (FR/EN)</t>
        </is>
      </c>
      <c r="D73" s="45" t="inlineStr">
        <is>
          <t>Profil → Langue → English</t>
        </is>
      </c>
      <c r="E73" s="45" t="inlineStr">
        <is>
          <t>Interface passe en anglais</t>
        </is>
      </c>
      <c r="F73" s="43" t="inlineStr">
        <is>
          <t>NORMALE</t>
        </is>
      </c>
      <c r="G73" s="38" t="inlineStr">
        <is>
          <t>☐ À tester</t>
        </is>
      </c>
      <c r="H73" s="46" t="n"/>
      <c r="I73" s="40" t="n"/>
      <c r="J73" s="41" t="n"/>
      <c r="K73" s="46" t="n"/>
    </row>
    <row r="74" ht="30.6" customHeight="1">
      <c r="A74" s="56" t="inlineStr">
        <is>
          <t>Profil &amp; Abonnement</t>
        </is>
      </c>
      <c r="B74" s="44" t="inlineStr">
        <is>
          <t>PROF-07</t>
        </is>
      </c>
      <c r="C74" s="45" t="inlineStr">
        <is>
          <t>Paramètre notifications</t>
        </is>
      </c>
      <c r="D74" s="45" t="inlineStr">
        <is>
          <t>Profil → Notifications → Désactiver</t>
        </is>
      </c>
      <c r="E74" s="45" t="inlineStr">
        <is>
          <t>Notifications push désactivées</t>
        </is>
      </c>
      <c r="F74" s="43" t="inlineStr">
        <is>
          <t>NORMALE</t>
        </is>
      </c>
      <c r="G74" s="38" t="inlineStr">
        <is>
          <t>☐ À tester</t>
        </is>
      </c>
      <c r="H74" s="46" t="n"/>
      <c r="I74" s="40" t="n"/>
      <c r="J74" s="41" t="n"/>
      <c r="K74" s="46" t="n"/>
    </row>
    <row r="75" ht="30.6" customHeight="1">
      <c r="A75" s="55" t="inlineStr">
        <is>
          <t>FREE Trial</t>
        </is>
      </c>
      <c r="B75" s="35" t="inlineStr">
        <is>
          <t>FREE-01</t>
        </is>
      </c>
      <c r="C75" s="36" t="inlineStr">
        <is>
          <t>Accès complet pendant 7 jours</t>
        </is>
      </c>
      <c r="D75" s="36" t="inlineStr">
        <is>
          <t>Créer un compte FREE → tester tous les modules dans les 7 jours</t>
        </is>
      </c>
      <c r="E75" s="36" t="inlineStr">
        <is>
          <t>Accès illimité à tous les modules pendant 7 jours</t>
        </is>
      </c>
      <c r="F75" s="37" t="inlineStr">
        <is>
          <t>CRITIQUE</t>
        </is>
      </c>
      <c r="G75" s="38" t="inlineStr">
        <is>
          <t>☐ À tester</t>
        </is>
      </c>
      <c r="H75" s="39" t="n"/>
      <c r="I75" s="40" t="n"/>
      <c r="J75" s="41" t="n"/>
      <c r="K75" s="39" t="n"/>
    </row>
    <row r="76" ht="30.6" customHeight="1">
      <c r="A76" s="55" t="inlineStr">
        <is>
          <t>FREE Trial</t>
        </is>
      </c>
      <c r="B76" s="35" t="inlineStr">
        <is>
          <t>FREE-02</t>
        </is>
      </c>
      <c r="C76" s="36" t="inlineStr">
        <is>
          <t>Expiration FREE après J+7</t>
        </is>
      </c>
      <c r="D76" s="36" t="inlineStr">
        <is>
          <t>Attendre J+8 → tenter d'accéder à l'IA</t>
        </is>
      </c>
      <c r="E76" s="36" t="inlineStr">
        <is>
          <t>Message 'Essai terminé', redirection souscription</t>
        </is>
      </c>
      <c r="F76" s="37" t="inlineStr">
        <is>
          <t>CRITIQUE</t>
        </is>
      </c>
      <c r="G76" s="38" t="inlineStr">
        <is>
          <t>☐ À tester</t>
        </is>
      </c>
      <c r="H76" s="39" t="n"/>
      <c r="I76" s="40" t="n"/>
      <c r="J76" s="41" t="n"/>
      <c r="K76" s="39" t="n"/>
    </row>
    <row r="77" ht="30.6" customHeight="1">
      <c r="A77" s="55" t="inlineStr">
        <is>
          <t>FREE Trial</t>
        </is>
      </c>
      <c r="B77" s="35" t="inlineStr">
        <is>
          <t>FREE-03</t>
        </is>
      </c>
      <c r="C77" s="36" t="inlineStr">
        <is>
          <t>Quota 5 questions IA (post-expiration)</t>
        </is>
      </c>
      <c r="D77" s="36" t="inlineStr">
        <is>
          <t>Envoyer 6 questions IA sur plan FREE expiré</t>
        </is>
      </c>
      <c r="E77" s="36" t="inlineStr">
        <is>
          <t>Blocage à la 6ème question avec message d'upgrade</t>
        </is>
      </c>
      <c r="F77" s="37" t="inlineStr">
        <is>
          <t>CRITIQUE</t>
        </is>
      </c>
      <c r="G77" s="38" t="inlineStr">
        <is>
          <t>☐ À tester</t>
        </is>
      </c>
      <c r="H77" s="39" t="n"/>
      <c r="I77" s="40" t="n"/>
      <c r="J77" s="41" t="n"/>
      <c r="K77" s="39" t="n"/>
    </row>
    <row r="78" ht="30.6" customHeight="1">
      <c r="A78" s="55" t="inlineStr">
        <is>
          <t>FREE Trial</t>
        </is>
      </c>
      <c r="B78" s="35" t="inlineStr">
        <is>
          <t>FREE-04</t>
        </is>
      </c>
      <c r="C78" s="36" t="inlineStr">
        <is>
          <t>Quota 3 audits documents</t>
        </is>
      </c>
      <c r="D78" s="36" t="inlineStr">
        <is>
          <t>Soumettre 4 documents en audit</t>
        </is>
      </c>
      <c r="E78" s="36" t="inlineStr">
        <is>
          <t>Blocage au 4ème avec message d'upgrade</t>
        </is>
      </c>
      <c r="F78" s="42" t="inlineStr">
        <is>
          <t>HAUTE</t>
        </is>
      </c>
      <c r="G78" s="38" t="inlineStr">
        <is>
          <t>☐ À tester</t>
        </is>
      </c>
      <c r="H78" s="39" t="n"/>
      <c r="I78" s="40" t="n"/>
      <c r="J78" s="41" t="n"/>
      <c r="K78" s="39" t="n"/>
    </row>
    <row r="79" ht="30.6" customHeight="1">
      <c r="A79" s="56" t="inlineStr">
        <is>
          <t>Performance</t>
        </is>
      </c>
      <c r="B79" s="44" t="inlineStr">
        <is>
          <t>PERF-01</t>
        </is>
      </c>
      <c r="C79" s="45" t="inlineStr">
        <is>
          <t>Temps de chargement initial</t>
        </is>
      </c>
      <c r="D79" s="45" t="inlineStr">
        <is>
          <t>Lancer l'app à froid (premier lancement)</t>
        </is>
      </c>
      <c r="E79" s="45" t="inlineStr">
        <is>
          <t>Ecran d'accueil chargé en moins de 3 secondes</t>
        </is>
      </c>
      <c r="F79" s="42" t="inlineStr">
        <is>
          <t>HAUTE</t>
        </is>
      </c>
      <c r="G79" s="38" t="inlineStr">
        <is>
          <t>☐ À tester</t>
        </is>
      </c>
      <c r="H79" s="46" t="n"/>
      <c r="I79" s="40" t="n"/>
      <c r="J79" s="41" t="n"/>
      <c r="K79" s="46" t="n"/>
    </row>
    <row r="80" ht="30.6" customHeight="1">
      <c r="A80" s="56" t="inlineStr">
        <is>
          <t>Performance</t>
        </is>
      </c>
      <c r="B80" s="44" t="inlineStr">
        <is>
          <t>PERF-02</t>
        </is>
      </c>
      <c r="C80" s="45" t="inlineStr">
        <is>
          <t>Navigation entre onglets</t>
        </is>
      </c>
      <c r="D80" s="45" t="inlineStr">
        <is>
          <t>Switcher rapidement entre tous les onglets</t>
        </is>
      </c>
      <c r="E80" s="45" t="inlineStr">
        <is>
          <t>Chaque onglet s'affiche en moins de 1 seconde</t>
        </is>
      </c>
      <c r="F80" s="42" t="inlineStr">
        <is>
          <t>HAUTE</t>
        </is>
      </c>
      <c r="G80" s="38" t="inlineStr">
        <is>
          <t>☐ À tester</t>
        </is>
      </c>
      <c r="H80" s="46" t="n"/>
      <c r="I80" s="40" t="n"/>
      <c r="J80" s="41" t="n"/>
      <c r="K80" s="46" t="n"/>
    </row>
    <row r="81" ht="30.6" customHeight="1">
      <c r="A81" s="56" t="inlineStr">
        <is>
          <t>Performance</t>
        </is>
      </c>
      <c r="B81" s="44" t="inlineStr">
        <is>
          <t>PERF-03</t>
        </is>
      </c>
      <c r="C81" s="45" t="inlineStr">
        <is>
          <t>Ouverture d'un article</t>
        </is>
      </c>
      <c r="D81" s="45" t="inlineStr">
        <is>
          <t>Tapper sur un article depuis la liste</t>
        </is>
      </c>
      <c r="E81" s="45" t="inlineStr">
        <is>
          <t>Article affiché en moins de 2 secondes</t>
        </is>
      </c>
      <c r="F81" s="42" t="inlineStr">
        <is>
          <t>HAUTE</t>
        </is>
      </c>
      <c r="G81" s="38" t="inlineStr">
        <is>
          <t>☐ À tester</t>
        </is>
      </c>
      <c r="H81" s="46" t="n"/>
      <c r="I81" s="40" t="n"/>
      <c r="J81" s="41" t="n"/>
      <c r="K81" s="46" t="n"/>
    </row>
    <row r="82" ht="30.6" customHeight="1">
      <c r="A82" s="56" t="inlineStr">
        <is>
          <t>Performance</t>
        </is>
      </c>
      <c r="B82" s="44" t="inlineStr">
        <is>
          <t>PERF-04</t>
        </is>
      </c>
      <c r="C82" s="45" t="inlineStr">
        <is>
          <t>Calcul simulateur</t>
        </is>
      </c>
      <c r="D82" s="45" t="inlineStr">
        <is>
          <t>Lancer un calcul sur n'importe quel simulateur</t>
        </is>
      </c>
      <c r="E82" s="45" t="inlineStr">
        <is>
          <t>Résultat en moins de 2 secondes</t>
        </is>
      </c>
      <c r="F82" s="42" t="inlineStr">
        <is>
          <t>HAUTE</t>
        </is>
      </c>
      <c r="G82" s="38" t="inlineStr">
        <is>
          <t>☐ À tester</t>
        </is>
      </c>
      <c r="H82" s="46" t="n"/>
      <c r="I82" s="40" t="n"/>
      <c r="J82" s="41" t="n"/>
      <c r="K82" s="46" t="n"/>
    </row>
    <row r="83" ht="30.6" customHeight="1">
      <c r="A83" s="56" t="inlineStr">
        <is>
          <t>Performance</t>
        </is>
      </c>
      <c r="B83" s="44" t="inlineStr">
        <is>
          <t>PERF-05</t>
        </is>
      </c>
      <c r="C83" s="45" t="inlineStr">
        <is>
          <t>Réponse IA (premier token)</t>
        </is>
      </c>
      <c r="D83" s="45" t="inlineStr">
        <is>
          <t>Envoyer une question IA et mesurer le délai</t>
        </is>
      </c>
      <c r="E83" s="45" t="inlineStr">
        <is>
          <t>Premier mot apparaît en moins de 3 secondes</t>
        </is>
      </c>
      <c r="F83" s="42" t="inlineStr">
        <is>
          <t>HAUTE</t>
        </is>
      </c>
      <c r="G83" s="38" t="inlineStr">
        <is>
          <t>☐ À tester</t>
        </is>
      </c>
      <c r="H83" s="46" t="n"/>
      <c r="I83" s="40" t="n"/>
      <c r="J83" s="41" t="n"/>
      <c r="K83" s="46" t="n"/>
    </row>
    <row r="84" ht="30.6" customHeight="1">
      <c r="A84" s="56" t="inlineStr">
        <is>
          <t>Performance</t>
        </is>
      </c>
      <c r="B84" s="44" t="inlineStr">
        <is>
          <t>PERF-06</t>
        </is>
      </c>
      <c r="C84" s="45" t="inlineStr">
        <is>
          <t>Test connexion 3G (Congo)</t>
        </is>
      </c>
      <c r="D84" s="45" t="inlineStr">
        <is>
          <t>Simuler une connexion lente (3G)</t>
        </is>
      </c>
      <c r="E84" s="45" t="inlineStr">
        <is>
          <t>App reste utilisable, pas de timeout</t>
        </is>
      </c>
      <c r="F84" s="42" t="inlineStr">
        <is>
          <t>HAUTE</t>
        </is>
      </c>
      <c r="G84" s="38" t="inlineStr">
        <is>
          <t>☐ À tester</t>
        </is>
      </c>
      <c r="H84" s="46" t="n"/>
      <c r="I84" s="40" t="n"/>
      <c r="J84" s="41" t="n"/>
      <c r="K84" s="46" t="n"/>
    </row>
    <row r="85" ht="30.6" customHeight="1">
      <c r="A85" s="55" t="inlineStr">
        <is>
          <t>UX Mobile</t>
        </is>
      </c>
      <c r="B85" s="35" t="inlineStr">
        <is>
          <t>UX-01</t>
        </is>
      </c>
      <c r="C85" s="36" t="inlineStr">
        <is>
          <t>Responsivité petits écrans</t>
        </is>
      </c>
      <c r="D85" s="36" t="inlineStr">
        <is>
          <t>Tester sur smartphone 5 pouces</t>
        </is>
      </c>
      <c r="E85" s="36" t="inlineStr">
        <is>
          <t>Aucun texte coupé, boutons accessibles, pas de scroll horizontal non voulu</t>
        </is>
      </c>
      <c r="F85" s="42" t="inlineStr">
        <is>
          <t>HAUTE</t>
        </is>
      </c>
      <c r="G85" s="38" t="inlineStr">
        <is>
          <t>☐ À tester</t>
        </is>
      </c>
      <c r="H85" s="39" t="n"/>
      <c r="I85" s="40" t="n"/>
      <c r="J85" s="41" t="n"/>
      <c r="K85" s="39" t="n"/>
    </row>
    <row r="86" ht="30.6" customHeight="1">
      <c r="A86" s="55" t="inlineStr">
        <is>
          <t>UX Mobile</t>
        </is>
      </c>
      <c r="B86" s="35" t="inlineStr">
        <is>
          <t>UX-02</t>
        </is>
      </c>
      <c r="C86" s="36" t="inlineStr">
        <is>
          <t>Responsivité tablette</t>
        </is>
      </c>
      <c r="D86" s="36" t="inlineStr">
        <is>
          <t>Ouvrir l'app sur tablette Android</t>
        </is>
      </c>
      <c r="E86" s="36" t="inlineStr">
        <is>
          <t>Mise en page adaptée, pas de déformation</t>
        </is>
      </c>
      <c r="F86" s="43" t="inlineStr">
        <is>
          <t>NORMALE</t>
        </is>
      </c>
      <c r="G86" s="38" t="inlineStr">
        <is>
          <t>☐ À tester</t>
        </is>
      </c>
      <c r="H86" s="39" t="n"/>
      <c r="I86" s="40" t="n"/>
      <c r="J86" s="41" t="n"/>
      <c r="K86" s="39" t="n"/>
    </row>
    <row r="87" ht="30.6" customHeight="1">
      <c r="A87" s="55" t="inlineStr">
        <is>
          <t>UX Mobile</t>
        </is>
      </c>
      <c r="B87" s="35" t="inlineStr">
        <is>
          <t>UX-03</t>
        </is>
      </c>
      <c r="C87" s="36" t="inlineStr">
        <is>
          <t>Mode sombre automatique</t>
        </is>
      </c>
      <c r="D87" s="36" t="inlineStr">
        <is>
          <t>Activer le mode sombre du téléphone</t>
        </is>
      </c>
      <c r="E87" s="36" t="inlineStr">
        <is>
          <t>App s'adapte (thème sombre CGI 242)</t>
        </is>
      </c>
      <c r="F87" s="43" t="inlineStr">
        <is>
          <t>NORMALE</t>
        </is>
      </c>
      <c r="G87" s="38" t="inlineStr">
        <is>
          <t>☐ À tester</t>
        </is>
      </c>
      <c r="H87" s="39" t="n"/>
      <c r="I87" s="40" t="n"/>
      <c r="J87" s="41" t="n"/>
      <c r="K87" s="39" t="n"/>
    </row>
    <row r="88" ht="30.6" customHeight="1">
      <c r="A88" s="55" t="inlineStr">
        <is>
          <t>UX Mobile</t>
        </is>
      </c>
      <c r="B88" s="35" t="inlineStr">
        <is>
          <t>UX-04</t>
        </is>
      </c>
      <c r="C88" s="36" t="inlineStr">
        <is>
          <t>Agrandissement texte système</t>
        </is>
      </c>
      <c r="D88" s="36" t="inlineStr">
        <is>
          <t>Augmenter la taille de police système</t>
        </is>
      </c>
      <c r="E88" s="36" t="inlineStr">
        <is>
          <t>Texte s'agrandit sans déformer les mises en page</t>
        </is>
      </c>
      <c r="F88" s="43" t="inlineStr">
        <is>
          <t>NORMALE</t>
        </is>
      </c>
      <c r="G88" s="38" t="inlineStr">
        <is>
          <t>☐ À tester</t>
        </is>
      </c>
      <c r="H88" s="39" t="n"/>
      <c r="I88" s="40" t="n"/>
      <c r="J88" s="41" t="n"/>
      <c r="K88" s="39" t="n"/>
    </row>
    <row r="89" ht="30.6" customHeight="1">
      <c r="A89" s="55" t="inlineStr">
        <is>
          <t>UX Mobile</t>
        </is>
      </c>
      <c r="B89" s="35" t="inlineStr">
        <is>
          <t>UX-05</t>
        </is>
      </c>
      <c r="C89" s="36" t="inlineStr">
        <is>
          <t>Retour bouton physique Android</t>
        </is>
      </c>
      <c r="D89" s="36" t="inlineStr">
        <is>
          <t>Naviguer en profondeur → bouton Retour Android</t>
        </is>
      </c>
      <c r="E89" s="36" t="inlineStr">
        <is>
          <t>Comportement cohérent (remonte d'un niveau)</t>
        </is>
      </c>
      <c r="F89" s="42" t="inlineStr">
        <is>
          <t>HAUTE</t>
        </is>
      </c>
      <c r="G89" s="38" t="inlineStr">
        <is>
          <t>☐ À tester</t>
        </is>
      </c>
      <c r="H89" s="39" t="n"/>
      <c r="I89" s="40" t="n"/>
      <c r="J89" s="41" t="n"/>
      <c r="K89" s="39" t="n"/>
    </row>
    <row r="90" ht="30.6" customHeight="1">
      <c r="A90" s="55" t="inlineStr">
        <is>
          <t>UX Mobile</t>
        </is>
      </c>
      <c r="B90" s="35" t="inlineStr">
        <is>
          <t>UX-06</t>
        </is>
      </c>
      <c r="C90" s="36" t="inlineStr">
        <is>
          <t>Scroll fluide liste articles</t>
        </is>
      </c>
      <c r="D90" s="36" t="inlineStr">
        <is>
          <t>Faire défiler une longue liste sans s'arrêter</t>
        </is>
      </c>
      <c r="E90" s="36" t="inlineStr">
        <is>
          <t>Scroll fluide, pas de freeze ou saut de contenu</t>
        </is>
      </c>
      <c r="F90" s="43" t="inlineStr">
        <is>
          <t>NORMALE</t>
        </is>
      </c>
      <c r="G90" s="38" t="inlineStr">
        <is>
          <t>☐ À tester</t>
        </is>
      </c>
      <c r="H90" s="39" t="n"/>
      <c r="I90" s="40" t="n"/>
      <c r="J90" s="41" t="n"/>
      <c r="K90" s="39" t="n"/>
    </row>
    <row r="91">
      <c r="A91" t="inlineStr">
        <is>
          <t>Navigation Social</t>
        </is>
      </c>
      <c r="B91" t="inlineStr">
        <is>
          <t>SOC-01</t>
        </is>
      </c>
      <c r="C91" t="inlineStr">
        <is>
          <t>Navigation Livre 1 → Code du travail → Titre 1 → Article</t>
        </is>
      </c>
      <c r="D91" t="inlineStr">
        <is>
          <t>Sélecteur Code Social → Livre 1 → 1.1 Code du travail → Titre 1 → Article 1</t>
        </is>
      </c>
      <c r="E91" t="inlineStr">
        <is>
          <t>Article 1 du Code du travail s'affiche avec contenu complet</t>
        </is>
      </c>
      <c r="F91" t="inlineStr">
        <is>
          <t>CRITIQUE</t>
        </is>
      </c>
      <c r="G91" t="inlineStr">
        <is>
          <t>☐ À tester</t>
        </is>
      </c>
    </row>
    <row r="92">
      <c r="A92" t="inlineStr">
        <is>
          <t>Navigation Social</t>
        </is>
      </c>
      <c r="B92" t="inlineStr">
        <is>
          <t>SOC-02</t>
        </is>
      </c>
      <c r="C92" t="inlineStr">
        <is>
          <t>Navigation Livre 2 → Code sécurité sociale → Art. 145</t>
        </is>
      </c>
      <c r="D92" t="inlineStr">
        <is>
          <t>Livre 2 → 2.1 Code sécu sociale → Pensions → Art. 145</t>
        </is>
      </c>
      <c r="E92" t="inlineStr">
        <is>
          <t>Art. 145 sur la pension de vieillesse (55 ans, 20 ans immatriculation)</t>
        </is>
      </c>
      <c r="F92" t="inlineStr">
        <is>
          <t>CRITIQUE</t>
        </is>
      </c>
      <c r="G92" t="inlineStr">
        <is>
          <t>☐ À tester</t>
        </is>
      </c>
    </row>
    <row r="93">
      <c r="A93" t="inlineStr">
        <is>
          <t>Navigation Social</t>
        </is>
      </c>
      <c r="B93" t="inlineStr">
        <is>
          <t>SOC-03</t>
        </is>
      </c>
      <c r="C93" t="inlineStr">
        <is>
          <t>Navigation Livre 3 → Convention collective BTP</t>
        </is>
      </c>
      <c r="D93" t="inlineStr">
        <is>
          <t>Livre 3 → 3.1 Conventions → BTP → Articles</t>
        </is>
      </c>
      <c r="E93" t="inlineStr">
        <is>
          <t>Articles de la convention BTP affichés</t>
        </is>
      </c>
      <c r="F93" t="inlineStr">
        <is>
          <t>HAUTE</t>
        </is>
      </c>
      <c r="G93" t="inlineStr">
        <is>
          <t>☐ À tester</t>
        </is>
      </c>
    </row>
    <row r="94">
      <c r="A94" t="inlineStr">
        <is>
          <t>Navigation Social</t>
        </is>
      </c>
      <c r="B94" t="inlineStr">
        <is>
          <t>SOC-04</t>
        </is>
      </c>
      <c r="C94" t="inlineStr">
        <is>
          <t>Sélecteur de code : basculer CGI ↔ Social</t>
        </is>
      </c>
      <c r="D94" t="inlineStr">
        <is>
          <t>Cliquer sur le sélecteur → choisir Code Social → puis revenir au CGI</t>
        </is>
      </c>
      <c r="E94" t="inlineStr">
        <is>
          <t>Sommaire change correctement, 3 Livres visibles en mode Social</t>
        </is>
      </c>
      <c r="F94" t="inlineStr">
        <is>
          <t>CRITIQUE</t>
        </is>
      </c>
      <c r="G94" t="inlineStr">
        <is>
          <t>☐ À tester</t>
        </is>
      </c>
    </row>
    <row r="95">
      <c r="A95" t="inlineStr">
        <is>
          <t>Navigation Social</t>
        </is>
      </c>
      <c r="B95" t="inlineStr">
        <is>
          <t>SOC-05</t>
        </is>
      </c>
      <c r="C95" t="inlineStr">
        <is>
          <t>Vérifier la structure 3 Livres</t>
        </is>
      </c>
      <c r="D95" t="inlineStr">
        <is>
          <t>Ouvrir le Code Social → vérifier le sommaire</t>
        </is>
      </c>
      <c r="E95" t="inlineStr">
        <is>
          <t>Livre 1 (Droit du travail), Livre 2 (Sécurité sociale), Livre 3 (Conventions collectives)</t>
        </is>
      </c>
      <c r="F95" t="inlineStr">
        <is>
          <t>CRITIQUE</t>
        </is>
      </c>
      <c r="G95" t="inlineStr">
        <is>
          <t>☐ À tester</t>
        </is>
      </c>
    </row>
    <row r="96">
      <c r="A96" t="inlineStr">
        <is>
          <t>Navigation Social</t>
        </is>
      </c>
      <c r="B96" t="inlineStr">
        <is>
          <t>SOC-06</t>
        </is>
      </c>
      <c r="C96" t="inlineStr">
        <is>
          <t>Textes d'application accessibles</t>
        </is>
      </c>
      <c r="D96" t="inlineStr">
        <is>
          <t>Livre 1 → 1.2 Textes d'application → SMIG (Art. 83)</t>
        </is>
      </c>
      <c r="E96" t="inlineStr">
        <is>
          <t>Contenu de l'arrêté SMIG affiché</t>
        </is>
      </c>
      <c r="F96" t="inlineStr">
        <is>
          <t>HAUTE</t>
        </is>
      </c>
      <c r="G96" t="inlineStr">
        <is>
          <t>☐ À tester</t>
        </is>
      </c>
    </row>
    <row r="97">
      <c r="A97" t="inlineStr">
        <is>
          <t>Navigation Social</t>
        </is>
      </c>
      <c r="B97" t="inlineStr">
        <is>
          <t>SOC-07</t>
        </is>
      </c>
      <c r="C97" t="inlineStr">
        <is>
          <t>Textes non codifiés accessibles</t>
        </is>
      </c>
      <c r="D97" t="inlineStr">
        <is>
          <t>Livre 1 → 1.3 → Jours fériés (Loi 1994-02)</t>
        </is>
      </c>
      <c r="E97" t="inlineStr">
        <is>
          <t>Liste des jours fériés affichée (1er janv, Pâques, 1er mai, etc.)</t>
        </is>
      </c>
      <c r="F97" t="inlineStr">
        <is>
          <t>HAUTE</t>
        </is>
      </c>
      <c r="G97" t="inlineStr">
        <is>
          <t>☐ À tester</t>
        </is>
      </c>
    </row>
    <row r="98">
      <c r="A98" t="inlineStr">
        <is>
          <t>Navigation Social</t>
        </is>
      </c>
      <c r="B98" t="inlineStr">
        <is>
          <t>SOC-08</t>
        </is>
      </c>
      <c r="C98" t="inlineStr">
        <is>
          <t>63 fichiers chargés sans erreur</t>
        </is>
      </c>
      <c r="D98" t="inlineStr">
        <is>
          <t>Vérifier dans la console qu'aucune erreur de chargement n'apparaît</t>
        </is>
      </c>
      <c r="E98" t="inlineStr">
        <is>
          <t>Aucune erreur, tous les nœuds du sommaire sont cliquables</t>
        </is>
      </c>
      <c r="F98" t="inlineStr">
        <is>
          <t>HAUTE</t>
        </is>
      </c>
      <c r="G98" t="inlineStr">
        <is>
          <t>☐ À tester</t>
        </is>
      </c>
    </row>
    <row r="99">
      <c r="A99" t="inlineStr">
        <is>
          <t>Recherche Social</t>
        </is>
      </c>
      <c r="B99" t="inlineStr">
        <is>
          <t>RECH-SOC-01</t>
        </is>
      </c>
      <c r="C99" t="inlineStr">
        <is>
          <t>Rechercher 'licenciement' dans le Code Social</t>
        </is>
      </c>
      <c r="D99" t="inlineStr">
        <is>
          <t>Sélectionner Code Social → taper 'licenciement' dans la barre de recherche</t>
        </is>
      </c>
      <c r="E99" t="inlineStr">
        <is>
          <t>Articles du Code du travail sur le licenciement affichés en résultat</t>
        </is>
      </c>
      <c r="F99" t="inlineStr">
        <is>
          <t>HAUTE</t>
        </is>
      </c>
      <c r="G99" t="inlineStr">
        <is>
          <t>☐ À tester</t>
        </is>
      </c>
    </row>
    <row r="100">
      <c r="A100" t="inlineStr">
        <is>
          <t>Recherche Social</t>
        </is>
      </c>
      <c r="B100" t="inlineStr">
        <is>
          <t>RECH-SOC-02</t>
        </is>
      </c>
      <c r="C100" t="inlineStr">
        <is>
          <t>Rechercher 'cotisation CNSS'</t>
        </is>
      </c>
      <c r="D100" t="inlineStr">
        <is>
          <t>Taper 'cotisation CNSS' dans la recherche Code Social</t>
        </is>
      </c>
      <c r="E100" t="inlineStr">
        <is>
          <t>Articles du Code sécurité sociale sur les cotisations</t>
        </is>
      </c>
      <c r="F100" t="inlineStr">
        <is>
          <t>HAUTE</t>
        </is>
      </c>
      <c r="G100" t="inlineStr">
        <is>
          <t>☐ À tester</t>
        </is>
      </c>
    </row>
    <row r="101">
      <c r="A101" t="inlineStr">
        <is>
          <t>Recherche Social</t>
        </is>
      </c>
      <c r="B101" t="inlineStr">
        <is>
          <t>RECH-SOC-03</t>
        </is>
      </c>
      <c r="C101" t="inlineStr">
        <is>
          <t>Rechercher 'convention collective BTP'</t>
        </is>
      </c>
      <c r="D101" t="inlineStr">
        <is>
          <t>Taper 'convention collective BTP'</t>
        </is>
      </c>
      <c r="E101" t="inlineStr">
        <is>
          <t>Convention BTP affichée dans les résultats</t>
        </is>
      </c>
      <c r="F101" t="inlineStr">
        <is>
          <t>HAUTE</t>
        </is>
      </c>
      <c r="G101" t="inlineStr">
        <is>
          <t>☐ À tester</t>
        </is>
      </c>
    </row>
    <row r="102">
      <c r="A102" t="inlineStr">
        <is>
          <t>Assistant IA Social</t>
        </is>
      </c>
      <c r="B102" t="inlineStr">
        <is>
          <t>IA-SOC-01</t>
        </is>
      </c>
      <c r="C102" t="inlineStr">
        <is>
          <t>Question : âge de retraite au Congo</t>
        </is>
      </c>
      <c r="D102" t="inlineStr">
        <is>
          <t>Taper: 'Quel est l'âge de retraite au Congo ?'</t>
        </is>
      </c>
      <c r="E102" t="inlineStr">
        <is>
          <t>Réponse citant la Loi 48-2024 (60 ans manœuvres, 63 maîtrise, 65 cadres, 70 hors catégorie)</t>
        </is>
      </c>
      <c r="F102" t="inlineStr">
        <is>
          <t>CRITIQUE</t>
        </is>
      </c>
      <c r="G102" t="inlineStr">
        <is>
          <t>☐ À tester</t>
        </is>
      </c>
    </row>
    <row r="103">
      <c r="A103" t="inlineStr">
        <is>
          <t>Assistant IA Social</t>
        </is>
      </c>
      <c r="B103" t="inlineStr">
        <is>
          <t>IA-SOC-02</t>
        </is>
      </c>
      <c r="C103" t="inlineStr">
        <is>
          <t>Question : cotisations CNSS employeur</t>
        </is>
      </c>
      <c r="D103" t="inlineStr">
        <is>
          <t>Taper: 'Quelles sont les cotisations CNSS à la charge de l'employeur ?'</t>
        </is>
      </c>
      <c r="E103" t="inlineStr">
        <is>
          <t>Réponse avec taux détaillés (PF, RP, Pensions, TUS, CAMU) + références articles</t>
        </is>
      </c>
      <c r="F103" t="inlineStr">
        <is>
          <t>CRITIQUE</t>
        </is>
      </c>
      <c r="G103" t="inlineStr">
        <is>
          <t>☐ À tester</t>
        </is>
      </c>
    </row>
    <row r="104">
      <c r="A104" t="inlineStr">
        <is>
          <t>Assistant IA Social</t>
        </is>
      </c>
      <c r="B104" t="inlineStr">
        <is>
          <t>IA-SOC-03</t>
        </is>
      </c>
      <c r="C104" t="inlineStr">
        <is>
          <t>Question : durée du préavis</t>
        </is>
      </c>
      <c r="D104" t="inlineStr">
        <is>
          <t>Taper: 'Quelle est la durée du préavis en cas de licenciement ?'</t>
        </is>
      </c>
      <c r="E104" t="inlineStr">
        <is>
          <t>Réponse citant le Code du travail avec conditions et durées</t>
        </is>
      </c>
      <c r="F104" t="inlineStr">
        <is>
          <t>HAUTE</t>
        </is>
      </c>
      <c r="G104" t="inlineStr">
        <is>
          <t>☐ À tester</t>
        </is>
      </c>
    </row>
    <row r="105">
      <c r="A105" t="inlineStr">
        <is>
          <t>Assistant IA Social</t>
        </is>
      </c>
      <c r="B105" t="inlineStr">
        <is>
          <t>IA-SOC-04</t>
        </is>
      </c>
      <c r="C105" t="inlineStr">
        <is>
          <t>Question : jours fériés</t>
        </is>
      </c>
      <c r="D105" t="inlineStr">
        <is>
          <t>Taper: 'Quels sont les jours fériés au Congo ?'</t>
        </is>
      </c>
      <c r="E105" t="inlineStr">
        <is>
          <t>Liste complète des jours fériés avec Loi 1994-02 citée</t>
        </is>
      </c>
      <c r="F105" t="inlineStr">
        <is>
          <t>HAUTE</t>
        </is>
      </c>
      <c r="G105" t="inlineStr">
        <is>
          <t>☐ À tester</t>
        </is>
      </c>
    </row>
    <row r="106">
      <c r="A106" t="inlineStr">
        <is>
          <t>Assistant IA Social</t>
        </is>
      </c>
      <c r="B106" t="inlineStr">
        <is>
          <t>IA-SOC-05</t>
        </is>
      </c>
      <c r="C106" t="inlineStr">
        <is>
          <t>Question : pension de vieillesse</t>
        </is>
      </c>
      <c r="D106" t="inlineStr">
        <is>
          <t>Taper: 'Comment est calculée la pension de vieillesse ?'</t>
        </is>
      </c>
      <c r="E106" t="inlineStr">
        <is>
          <t>Art. 150 CSS cité (40% rémunération, +2% par an au-delà 240 mois)</t>
        </is>
      </c>
      <c r="F106" t="inlineStr">
        <is>
          <t>HAUTE</t>
        </is>
      </c>
      <c r="G106" t="inlineStr">
        <is>
          <t>☐ À tester</t>
        </is>
      </c>
    </row>
    <row r="107">
      <c r="A107" t="inlineStr">
        <is>
          <t>Assistant IA Social</t>
        </is>
      </c>
      <c r="B107" t="inlineStr">
        <is>
          <t>IA-SOC-06</t>
        </is>
      </c>
      <c r="C107" t="inlineStr">
        <is>
          <t>Question : accident du travail</t>
        </is>
      </c>
      <c r="D107" t="inlineStr">
        <is>
          <t>Taper: 'Que faire en cas d'accident du travail ?'</t>
        </is>
      </c>
      <c r="E107" t="inlineStr">
        <is>
          <t>Procédure déclaration 48h, prestations, rente, références articles CSS</t>
        </is>
      </c>
      <c r="F107" t="inlineStr">
        <is>
          <t>HAUTE</t>
        </is>
      </c>
      <c r="G107" t="inlineStr">
        <is>
          <t>☐ À tester</t>
        </is>
      </c>
    </row>
    <row r="108">
      <c r="A108" t="inlineStr">
        <is>
          <t>Assistant IA Social</t>
        </is>
      </c>
      <c r="B108" t="inlineStr">
        <is>
          <t>IA-SOC-07</t>
        </is>
      </c>
      <c r="C108" t="inlineStr">
        <is>
          <t>Routing auto CGI vs Social</t>
        </is>
      </c>
      <c r="D108" t="inlineStr">
        <is>
          <t>Poser d'abord une question fiscale (TVA), puis une question sociale (licenciement)</t>
        </is>
      </c>
      <c r="E108" t="inlineStr">
        <is>
          <t>L'IA utilise automatiquement le bon contexte sans intervention</t>
        </is>
      </c>
      <c r="F108" t="inlineStr">
        <is>
          <t>CRITIQUE</t>
        </is>
      </c>
      <c r="G108" t="inlineStr">
        <is>
          <t>☐ À tester</t>
        </is>
      </c>
    </row>
    <row r="109">
      <c r="A109" t="inlineStr">
        <is>
          <t>Audit Facture</t>
        </is>
      </c>
      <c r="B109" t="inlineStr">
        <is>
          <t>AUDIT-01</t>
        </is>
      </c>
      <c r="C109" t="inlineStr">
        <is>
          <t>Upload d'une facture PDF</t>
        </is>
      </c>
      <c r="D109" t="inlineStr">
        <is>
          <t>Aller dans Audit Facture → Sélectionner Facture → Uploader un PDF</t>
        </is>
      </c>
      <c r="E109" t="inlineStr">
        <is>
          <t>Fichier accepté, bouton Analyser activé</t>
        </is>
      </c>
      <c r="F109" t="inlineStr">
        <is>
          <t>CRITIQUE</t>
        </is>
      </c>
      <c r="G109" t="inlineStr">
        <is>
          <t>☐ À tester</t>
        </is>
      </c>
    </row>
    <row r="110">
      <c r="A110" t="inlineStr">
        <is>
          <t>Audit Facture</t>
        </is>
      </c>
      <c r="B110" t="inlineStr">
        <is>
          <t>AUDIT-02</t>
        </is>
      </c>
      <c r="C110" t="inlineStr">
        <is>
          <t>Analyse de conformité</t>
        </is>
      </c>
      <c r="D110" t="inlineStr">
        <is>
          <t>Uploader une facture → cliquer Analyser</t>
        </is>
      </c>
      <c r="E110" t="inlineStr">
        <is>
          <t>Score de conformité affiché avec mentions obligatoires vérifiées</t>
        </is>
      </c>
      <c r="F110" t="inlineStr">
        <is>
          <t>CRITIQUE</t>
        </is>
      </c>
      <c r="G110" t="inlineStr">
        <is>
          <t>☐ À tester</t>
        </is>
      </c>
    </row>
    <row r="111">
      <c r="A111" t="inlineStr">
        <is>
          <t>Audit Facture</t>
        </is>
      </c>
      <c r="B111" t="inlineStr">
        <is>
          <t>AUDIT-03</t>
        </is>
      </c>
      <c r="C111" t="inlineStr">
        <is>
          <t>Résultats détaillés</t>
        </is>
      </c>
      <c r="D111" t="inlineStr">
        <is>
          <t>Après analyse → vérifier les résultats</t>
        </is>
      </c>
      <c r="E111" t="inlineStr">
        <is>
          <t>Score, vérification langue, taux TVA, mentions Art. 32, risques, recommandations</t>
        </is>
      </c>
      <c r="F111" t="inlineStr">
        <is>
          <t>HAUTE</t>
        </is>
      </c>
      <c r="G111" t="inlineStr">
        <is>
          <t>☐ À tester</t>
        </is>
      </c>
    </row>
    <row r="112">
      <c r="A112" t="inlineStr">
        <is>
          <t>Audit Facture</t>
        </is>
      </c>
      <c r="B112" t="inlineStr">
        <is>
          <t>AUDIT-04</t>
        </is>
      </c>
      <c r="C112" t="inlineStr">
        <is>
          <t>Historique des audits</t>
        </is>
      </c>
      <c r="D112" t="inlineStr">
        <is>
          <t>Effectuer 2 audits → vérifier l'historique</t>
        </is>
      </c>
      <c r="E112" t="inlineStr">
        <is>
          <t>Les 2 audits apparaissent avec date, type et score</t>
        </is>
      </c>
      <c r="F112" t="inlineStr">
        <is>
          <t>HAUTE</t>
        </is>
      </c>
      <c r="G112" t="inlineStr">
        <is>
          <t>☐ À tester</t>
        </is>
      </c>
    </row>
    <row r="113">
      <c r="A113" t="inlineStr">
        <is>
          <t>Audit Facture</t>
        </is>
      </c>
      <c r="B113" t="inlineStr">
        <is>
          <t>AUDIT-05</t>
        </is>
      </c>
      <c r="C113" t="inlineStr">
        <is>
          <t>Fichier trop lourd (&gt;10MB)</t>
        </is>
      </c>
      <c r="D113" t="inlineStr">
        <is>
          <t>Tenter d'uploader un fichier &gt;10MB</t>
        </is>
      </c>
      <c r="E113" t="inlineStr">
        <is>
          <t>Message d'erreur clair, pas de crash</t>
        </is>
      </c>
      <c r="F113" t="inlineStr">
        <is>
          <t>NORMALE</t>
        </is>
      </c>
      <c r="G113" t="inlineStr">
        <is>
          <t>☐ À tester</t>
        </is>
      </c>
    </row>
    <row r="114">
      <c r="A114" t="inlineStr">
        <is>
          <t>Organisation</t>
        </is>
      </c>
      <c r="B114" t="inlineStr">
        <is>
          <t>ORG-01</t>
        </is>
      </c>
      <c r="C114" t="inlineStr">
        <is>
          <t>Créer une organisation</t>
        </is>
      </c>
      <c r="D114" t="inlineStr">
        <is>
          <t>Menu Plus → Organisation → Créer → Saisir nom</t>
        </is>
      </c>
      <c r="E114" t="inlineStr">
        <is>
          <t>Organisation créée, membre affiché comme OWNER</t>
        </is>
      </c>
      <c r="F114" t="inlineStr">
        <is>
          <t>HAUTE</t>
        </is>
      </c>
      <c r="G114" t="inlineStr">
        <is>
          <t>☐ À tester</t>
        </is>
      </c>
    </row>
    <row r="115">
      <c r="A115" t="inlineStr">
        <is>
          <t>Organisation</t>
        </is>
      </c>
      <c r="B115" t="inlineStr">
        <is>
          <t>ORG-02</t>
        </is>
      </c>
      <c r="C115" t="inlineStr">
        <is>
          <t>Inviter un membre</t>
        </is>
      </c>
      <c r="D115" t="inlineStr">
        <is>
          <t>Organisation → Inviter → Saisir email + rôle MEMBER</t>
        </is>
      </c>
      <c r="E115" t="inlineStr">
        <is>
          <t>Invitation envoyée, apparaît dans les invitations en attente</t>
        </is>
      </c>
      <c r="F115" t="inlineStr">
        <is>
          <t>HAUTE</t>
        </is>
      </c>
      <c r="G115" t="inlineStr">
        <is>
          <t>☐ À tester</t>
        </is>
      </c>
    </row>
    <row r="116">
      <c r="A116" t="inlineStr">
        <is>
          <t>Organisation</t>
        </is>
      </c>
      <c r="B116" t="inlineStr">
        <is>
          <t>ORG-03</t>
        </is>
      </c>
      <c r="C116" t="inlineStr">
        <is>
          <t>Changer le rôle d'un membre</t>
        </is>
      </c>
      <c r="D116" t="inlineStr">
        <is>
          <t>Cliquer sur le menu ⋮ d'un membre → Changer rôle → ADMIN</t>
        </is>
      </c>
      <c r="E116" t="inlineStr">
        <is>
          <t>Rôle mis à jour en ADMIN</t>
        </is>
      </c>
      <c r="F116" t="inlineStr">
        <is>
          <t>NORMALE</t>
        </is>
      </c>
      <c r="G116" t="inlineStr">
        <is>
          <t>☐ À tester</t>
        </is>
      </c>
    </row>
    <row r="117">
      <c r="A117" t="inlineStr">
        <is>
          <t>Organisation</t>
        </is>
      </c>
      <c r="B117" t="inlineStr">
        <is>
          <t>ORG-04</t>
        </is>
      </c>
      <c r="C117" t="inlineStr">
        <is>
          <t>Supprimer un membre</t>
        </is>
      </c>
      <c r="D117" t="inlineStr">
        <is>
          <t>Menu ⋮ → Retirer le membre → Confirmer</t>
        </is>
      </c>
      <c r="E117" t="inlineStr">
        <is>
          <t>Membre retiré de la liste</t>
        </is>
      </c>
      <c r="F117" t="inlineStr">
        <is>
          <t>NORMALE</t>
        </is>
      </c>
      <c r="G117" t="inlineStr">
        <is>
          <t>☐ À tester</t>
        </is>
      </c>
    </row>
    <row r="118">
      <c r="A118" t="inlineStr">
        <is>
          <t>Sécurité 2FA</t>
        </is>
      </c>
      <c r="B118" t="inlineStr">
        <is>
          <t>2FA-01</t>
        </is>
      </c>
      <c r="C118" t="inlineStr">
        <is>
          <t>Activer la 2FA</t>
        </is>
      </c>
      <c r="D118" t="inlineStr">
        <is>
          <t>Paramètres → Sécurité → Activer 2FA → Scanner QR code</t>
        </is>
      </c>
      <c r="E118" t="inlineStr">
        <is>
          <t>QR code affiché, codes backup générés, 2FA activée</t>
        </is>
      </c>
      <c r="F118" t="inlineStr">
        <is>
          <t>HAUTE</t>
        </is>
      </c>
      <c r="G118" t="inlineStr">
        <is>
          <t>☐ À tester</t>
        </is>
      </c>
    </row>
    <row r="119">
      <c r="A119" t="inlineStr">
        <is>
          <t>Sécurité 2FA</t>
        </is>
      </c>
      <c r="B119" t="inlineStr">
        <is>
          <t>2FA-02</t>
        </is>
      </c>
      <c r="C119" t="inlineStr">
        <is>
          <t>Connexion avec 2FA</t>
        </is>
      </c>
      <c r="D119" t="inlineStr">
        <is>
          <t>Se déconnecter → Se reconnecter → Saisir code 2FA</t>
        </is>
      </c>
      <c r="E119" t="inlineStr">
        <is>
          <t>Accès accordé après saisie du code correct</t>
        </is>
      </c>
      <c r="F119" t="inlineStr">
        <is>
          <t>HAUTE</t>
        </is>
      </c>
      <c r="G119" t="inlineStr">
        <is>
          <t>☐ À tester</t>
        </is>
      </c>
    </row>
    <row r="120">
      <c r="A120" t="inlineStr">
        <is>
          <t>Sécurité 2FA</t>
        </is>
      </c>
      <c r="B120" t="inlineStr">
        <is>
          <t>2FA-03</t>
        </is>
      </c>
      <c r="C120" t="inlineStr">
        <is>
          <t>Code 2FA incorrect</t>
        </is>
      </c>
      <c r="D120" t="inlineStr">
        <is>
          <t>Saisir un code 2FA erroné</t>
        </is>
      </c>
      <c r="E120" t="inlineStr">
        <is>
          <t>Message d'erreur, accès refusé</t>
        </is>
      </c>
      <c r="F120" t="inlineStr">
        <is>
          <t>HAUTE</t>
        </is>
      </c>
      <c r="G120" t="inlineStr">
        <is>
          <t>☐ À tester</t>
        </is>
      </c>
    </row>
    <row r="121">
      <c r="A121" t="inlineStr">
        <is>
          <t>Performance</t>
        </is>
      </c>
      <c r="B121" t="inlineStr">
        <is>
          <t>PERF-SOC-01</t>
        </is>
      </c>
      <c r="C121" t="inlineStr">
        <is>
          <t>Temps chargement sommaire social</t>
        </is>
      </c>
      <c r="D121" t="inlineStr">
        <is>
          <t>Ouvrir le Code Social pour la première fois → mesurer le temps</t>
        </is>
      </c>
      <c r="E121" t="inlineStr">
        <is>
          <t>Sommaire affiché en moins de 3 secondes (63 fichiers JSON)</t>
        </is>
      </c>
      <c r="F121" t="inlineStr">
        <is>
          <t>HAUTE</t>
        </is>
      </c>
      <c r="G121" t="inlineStr">
        <is>
          <t>☐ À tester</t>
        </is>
      </c>
    </row>
    <row r="122">
      <c r="A122" t="inlineStr">
        <is>
          <t>Performance</t>
        </is>
      </c>
      <c r="B122" t="inlineStr">
        <is>
          <t>PERF-SOC-02</t>
        </is>
      </c>
      <c r="C122" t="inlineStr">
        <is>
          <t>Recherche IA sociale temps de réponse</t>
        </is>
      </c>
      <c r="D122" t="inlineStr">
        <is>
          <t>Poser une question sociale → mesurer le temps de la première réponse</t>
        </is>
      </c>
      <c r="E122" t="inlineStr">
        <is>
          <t>Début de streaming en moins de 5 secondes</t>
        </is>
      </c>
      <c r="F122" t="inlineStr">
        <is>
          <t>HAUTE</t>
        </is>
      </c>
      <c r="G122" t="inlineStr">
        <is>
          <t>☐ À tester</t>
        </is>
      </c>
    </row>
  </sheetData>
  <autoFilter ref="A3:K90"/>
  <mergeCells count="2">
    <mergeCell ref="A2:K2"/>
    <mergeCell ref="A1:K1"/>
  </mergeCells>
  <conditionalFormatting sqref="A4:H4">
    <cfRule type="expression" priority="2" dxfId="2">
      <formula>$G$4="✅ PASS"</formula>
    </cfRule>
    <cfRule type="expression" priority="3" dxfId="1">
      <formula>$G$4="❌ FAIL"</formula>
    </cfRule>
    <cfRule type="expression" priority="4" dxfId="0">
      <formula>$G$4="⚠️ PARTIEL"</formula>
    </cfRule>
    <cfRule type="expression" priority="5" dxfId="3">
      <formula>$G$4="🚫 N/A"</formula>
    </cfRule>
  </conditionalFormatting>
  <conditionalFormatting sqref="A5:H5">
    <cfRule type="expression" priority="41" dxfId="3">
      <formula>$G$5="🚫 N/A"</formula>
    </cfRule>
    <cfRule type="expression" priority="40" dxfId="0">
      <formula>$G$5="⚠️ PARTIEL"</formula>
    </cfRule>
    <cfRule type="expression" priority="38" dxfId="2">
      <formula>$G$5="✅ PASS"</formula>
    </cfRule>
    <cfRule type="expression" priority="39" dxfId="1">
      <formula>$G$5="❌ FAIL"</formula>
    </cfRule>
  </conditionalFormatting>
  <conditionalFormatting sqref="A6:H6">
    <cfRule type="expression" priority="76" dxfId="0">
      <formula>$G$6="⚠️ PARTIEL"</formula>
    </cfRule>
    <cfRule type="expression" priority="77" dxfId="3">
      <formula>$G$6="🚫 N/A"</formula>
    </cfRule>
    <cfRule type="expression" priority="75" dxfId="1">
      <formula>$G$6="❌ FAIL"</formula>
    </cfRule>
    <cfRule type="expression" priority="74" dxfId="2">
      <formula>$G$6="✅ PASS"</formula>
    </cfRule>
  </conditionalFormatting>
  <conditionalFormatting sqref="A7:H7">
    <cfRule type="expression" priority="112" dxfId="0">
      <formula>$G$7="⚠️ PARTIEL"</formula>
    </cfRule>
    <cfRule type="expression" priority="111" dxfId="1">
      <formula>$G$7="❌ FAIL"</formula>
    </cfRule>
    <cfRule type="expression" priority="110" dxfId="2">
      <formula>$G$7="✅ PASS"</formula>
    </cfRule>
    <cfRule type="expression" priority="113" dxfId="3">
      <formula>$G$7="🚫 N/A"</formula>
    </cfRule>
  </conditionalFormatting>
  <conditionalFormatting sqref="A8:H8">
    <cfRule type="expression" priority="149" dxfId="3">
      <formula>$G$8="🚫 N/A"</formula>
    </cfRule>
    <cfRule type="expression" priority="148" dxfId="0">
      <formula>$G$8="⚠️ PARTIEL"</formula>
    </cfRule>
    <cfRule type="expression" priority="147" dxfId="1">
      <formula>$G$8="❌ FAIL"</formula>
    </cfRule>
    <cfRule type="expression" priority="146" dxfId="2">
      <formula>$G$8="✅ PASS"</formula>
    </cfRule>
  </conditionalFormatting>
  <conditionalFormatting sqref="A9:H9">
    <cfRule type="expression" priority="182" dxfId="2">
      <formula>$G$9="✅ PASS"</formula>
    </cfRule>
    <cfRule type="expression" priority="183" dxfId="1">
      <formula>$G$9="❌ FAIL"</formula>
    </cfRule>
    <cfRule type="expression" priority="184" dxfId="0">
      <formula>$G$9="⚠️ PARTIEL"</formula>
    </cfRule>
    <cfRule type="expression" priority="185" dxfId="3">
      <formula>$G$9="🚫 N/A"</formula>
    </cfRule>
  </conditionalFormatting>
  <conditionalFormatting sqref="A10:H10">
    <cfRule type="expression" priority="218" dxfId="2">
      <formula>$G$10="✅ PASS"</formula>
    </cfRule>
    <cfRule type="expression" priority="219" dxfId="1">
      <formula>$G$10="❌ FAIL"</formula>
    </cfRule>
    <cfRule type="expression" priority="220" dxfId="0">
      <formula>$G$10="⚠️ PARTIEL"</formula>
    </cfRule>
    <cfRule type="expression" priority="221" dxfId="3">
      <formula>$G$10="🚫 N/A"</formula>
    </cfRule>
  </conditionalFormatting>
  <conditionalFormatting sqref="A11:H11">
    <cfRule type="expression" priority="257" dxfId="3">
      <formula>$G$11="🚫 N/A"</formula>
    </cfRule>
    <cfRule type="expression" priority="256" dxfId="0">
      <formula>$G$11="⚠️ PARTIEL"</formula>
    </cfRule>
    <cfRule type="expression" priority="255" dxfId="1">
      <formula>$G$11="❌ FAIL"</formula>
    </cfRule>
    <cfRule type="expression" priority="254" dxfId="2">
      <formula>$G$11="✅ PASS"</formula>
    </cfRule>
  </conditionalFormatting>
  <conditionalFormatting sqref="A12:H12">
    <cfRule type="expression" priority="293" dxfId="3">
      <formula>$G$12="🚫 N/A"</formula>
    </cfRule>
    <cfRule type="expression" priority="292" dxfId="0">
      <formula>$G$12="⚠️ PARTIEL"</formula>
    </cfRule>
    <cfRule type="expression" priority="290" dxfId="2">
      <formula>$G$12="✅ PASS"</formula>
    </cfRule>
    <cfRule type="expression" priority="291" dxfId="1">
      <formula>$G$12="❌ FAIL"</formula>
    </cfRule>
  </conditionalFormatting>
  <conditionalFormatting sqref="A13:H13">
    <cfRule type="expression" priority="327" dxfId="1">
      <formula>$G$13="❌ FAIL"</formula>
    </cfRule>
    <cfRule type="expression" priority="326" dxfId="2">
      <formula>$G$13="✅ PASS"</formula>
    </cfRule>
    <cfRule type="expression" priority="328" dxfId="0">
      <formula>$G$13="⚠️ PARTIEL"</formula>
    </cfRule>
    <cfRule type="expression" priority="329" dxfId="3">
      <formula>$G$13="🚫 N/A"</formula>
    </cfRule>
  </conditionalFormatting>
  <conditionalFormatting sqref="A14:H14">
    <cfRule type="expression" priority="365" dxfId="3">
      <formula>$G$14="🚫 N/A"</formula>
    </cfRule>
    <cfRule type="expression" priority="362" dxfId="2">
      <formula>$G$14="✅ PASS"</formula>
    </cfRule>
    <cfRule type="expression" priority="363" dxfId="1">
      <formula>$G$14="❌ FAIL"</formula>
    </cfRule>
    <cfRule type="expression" priority="364" dxfId="0">
      <formula>$G$14="⚠️ PARTIEL"</formula>
    </cfRule>
  </conditionalFormatting>
  <conditionalFormatting sqref="A15:H15">
    <cfRule type="expression" priority="401" dxfId="3">
      <formula>$G$15="🚫 N/A"</formula>
    </cfRule>
    <cfRule type="expression" priority="400" dxfId="0">
      <formula>$G$15="⚠️ PARTIEL"</formula>
    </cfRule>
    <cfRule type="expression" priority="399" dxfId="1">
      <formula>$G$15="❌ FAIL"</formula>
    </cfRule>
    <cfRule type="expression" priority="398" dxfId="2">
      <formula>$G$15="✅ PASS"</formula>
    </cfRule>
  </conditionalFormatting>
  <conditionalFormatting sqref="A16:H16">
    <cfRule type="expression" priority="435" dxfId="1">
      <formula>$G$16="❌ FAIL"</formula>
    </cfRule>
    <cfRule type="expression" priority="436" dxfId="0">
      <formula>$G$16="⚠️ PARTIEL"</formula>
    </cfRule>
    <cfRule type="expression" priority="437" dxfId="3">
      <formula>$G$16="🚫 N/A"</formula>
    </cfRule>
    <cfRule type="expression" priority="434" dxfId="2">
      <formula>$G$16="✅ PASS"</formula>
    </cfRule>
  </conditionalFormatting>
  <conditionalFormatting sqref="A17:H17">
    <cfRule type="expression" priority="473" dxfId="3">
      <formula>$G$17="🚫 N/A"</formula>
    </cfRule>
    <cfRule type="expression" priority="470" dxfId="2">
      <formula>$G$17="✅ PASS"</formula>
    </cfRule>
    <cfRule type="expression" priority="472" dxfId="0">
      <formula>$G$17="⚠️ PARTIEL"</formula>
    </cfRule>
    <cfRule type="expression" priority="471" dxfId="1">
      <formula>$G$17="❌ FAIL"</formula>
    </cfRule>
  </conditionalFormatting>
  <conditionalFormatting sqref="A18:H18">
    <cfRule type="expression" priority="509" dxfId="3">
      <formula>$G$18="🚫 N/A"</formula>
    </cfRule>
    <cfRule type="expression" priority="508" dxfId="0">
      <formula>$G$18="⚠️ PARTIEL"</formula>
    </cfRule>
    <cfRule type="expression" priority="506" dxfId="2">
      <formula>$G$18="✅ PASS"</formula>
    </cfRule>
    <cfRule type="expression" priority="507" dxfId="1">
      <formula>$G$18="❌ FAIL"</formula>
    </cfRule>
  </conditionalFormatting>
  <conditionalFormatting sqref="A19:H19">
    <cfRule type="expression" priority="545" dxfId="3">
      <formula>$G$19="🚫 N/A"</formula>
    </cfRule>
    <cfRule type="expression" priority="544" dxfId="0">
      <formula>$G$19="⚠️ PARTIEL"</formula>
    </cfRule>
    <cfRule type="expression" priority="543" dxfId="1">
      <formula>$G$19="❌ FAIL"</formula>
    </cfRule>
    <cfRule type="expression" priority="542" dxfId="2">
      <formula>$G$19="✅ PASS"</formula>
    </cfRule>
  </conditionalFormatting>
  <conditionalFormatting sqref="A20:H20">
    <cfRule type="expression" priority="580" dxfId="0">
      <formula>$G$20="⚠️ PARTIEL"</formula>
    </cfRule>
    <cfRule type="expression" priority="578" dxfId="2">
      <formula>$G$20="✅ PASS"</formula>
    </cfRule>
    <cfRule type="expression" priority="579" dxfId="1">
      <formula>$G$20="❌ FAIL"</formula>
    </cfRule>
    <cfRule type="expression" priority="581" dxfId="3">
      <formula>$G$20="🚫 N/A"</formula>
    </cfRule>
  </conditionalFormatting>
  <conditionalFormatting sqref="A21:H21">
    <cfRule type="expression" priority="617" dxfId="3">
      <formula>$G$21="🚫 N/A"</formula>
    </cfRule>
    <cfRule type="expression" priority="616" dxfId="0">
      <formula>$G$21="⚠️ PARTIEL"</formula>
    </cfRule>
    <cfRule type="expression" priority="615" dxfId="1">
      <formula>$G$21="❌ FAIL"</formula>
    </cfRule>
    <cfRule type="expression" priority="614" dxfId="2">
      <formula>$G$21="✅ PASS"</formula>
    </cfRule>
  </conditionalFormatting>
  <conditionalFormatting sqref="A22:H22">
    <cfRule type="expression" priority="650" dxfId="2">
      <formula>$G$22="✅ PASS"</formula>
    </cfRule>
    <cfRule type="expression" priority="651" dxfId="1">
      <formula>$G$22="❌ FAIL"</formula>
    </cfRule>
    <cfRule type="expression" priority="652" dxfId="0">
      <formula>$G$22="⚠️ PARTIEL"</formula>
    </cfRule>
    <cfRule type="expression" priority="653" dxfId="3">
      <formula>$G$22="🚫 N/A"</formula>
    </cfRule>
  </conditionalFormatting>
  <conditionalFormatting sqref="A23:H23">
    <cfRule type="expression" priority="689" dxfId="3">
      <formula>$G$23="🚫 N/A"</formula>
    </cfRule>
    <cfRule type="expression" priority="688" dxfId="0">
      <formula>$G$23="⚠️ PARTIEL"</formula>
    </cfRule>
    <cfRule type="expression" priority="687" dxfId="1">
      <formula>$G$23="❌ FAIL"</formula>
    </cfRule>
    <cfRule type="expression" priority="686" dxfId="2">
      <formula>$G$23="✅ PASS"</formula>
    </cfRule>
  </conditionalFormatting>
  <conditionalFormatting sqref="A24:H24">
    <cfRule type="expression" priority="725" dxfId="3">
      <formula>$G$24="🚫 N/A"</formula>
    </cfRule>
    <cfRule type="expression" priority="724" dxfId="0">
      <formula>$G$24="⚠️ PARTIEL"</formula>
    </cfRule>
    <cfRule type="expression" priority="723" dxfId="1">
      <formula>$G$24="❌ FAIL"</formula>
    </cfRule>
    <cfRule type="expression" priority="722" dxfId="2">
      <formula>$G$24="✅ PASS"</formula>
    </cfRule>
  </conditionalFormatting>
  <conditionalFormatting sqref="A25:H25">
    <cfRule type="expression" priority="759" dxfId="1">
      <formula>$G$25="❌ FAIL"</formula>
    </cfRule>
    <cfRule type="expression" priority="761" dxfId="3">
      <formula>$G$25="🚫 N/A"</formula>
    </cfRule>
    <cfRule type="expression" priority="760" dxfId="0">
      <formula>$G$25="⚠️ PARTIEL"</formula>
    </cfRule>
    <cfRule type="expression" priority="758" dxfId="2">
      <formula>$G$25="✅ PASS"</formula>
    </cfRule>
  </conditionalFormatting>
  <conditionalFormatting sqref="A26:H26">
    <cfRule type="expression" priority="794" dxfId="2">
      <formula>$G$26="✅ PASS"</formula>
    </cfRule>
    <cfRule type="expression" priority="796" dxfId="0">
      <formula>$G$26="⚠️ PARTIEL"</formula>
    </cfRule>
    <cfRule type="expression" priority="795" dxfId="1">
      <formula>$G$26="❌ FAIL"</formula>
    </cfRule>
    <cfRule type="expression" priority="797" dxfId="3">
      <formula>$G$26="🚫 N/A"</formula>
    </cfRule>
  </conditionalFormatting>
  <conditionalFormatting sqref="A27:H27">
    <cfRule type="expression" priority="830" dxfId="2">
      <formula>$G$27="✅ PASS"</formula>
    </cfRule>
    <cfRule type="expression" priority="831" dxfId="1">
      <formula>$G$27="❌ FAIL"</formula>
    </cfRule>
    <cfRule type="expression" priority="832" dxfId="0">
      <formula>$G$27="⚠️ PARTIEL"</formula>
    </cfRule>
    <cfRule type="expression" priority="833" dxfId="3">
      <formula>$G$27="🚫 N/A"</formula>
    </cfRule>
  </conditionalFormatting>
  <conditionalFormatting sqref="A28:H28">
    <cfRule type="expression" priority="866" dxfId="2">
      <formula>$G$28="✅ PASS"</formula>
    </cfRule>
    <cfRule type="expression" priority="868" dxfId="0">
      <formula>$G$28="⚠️ PARTIEL"</formula>
    </cfRule>
    <cfRule type="expression" priority="869" dxfId="3">
      <formula>$G$28="🚫 N/A"</formula>
    </cfRule>
    <cfRule type="expression" priority="867" dxfId="1">
      <formula>$G$28="❌ FAIL"</formula>
    </cfRule>
  </conditionalFormatting>
  <conditionalFormatting sqref="A29:H29">
    <cfRule type="expression" priority="903" dxfId="1">
      <formula>$G$29="❌ FAIL"</formula>
    </cfRule>
    <cfRule type="expression" priority="902" dxfId="2">
      <formula>$G$29="✅ PASS"</formula>
    </cfRule>
    <cfRule type="expression" priority="904" dxfId="0">
      <formula>$G$29="⚠️ PARTIEL"</formula>
    </cfRule>
    <cfRule type="expression" priority="905" dxfId="3">
      <formula>$G$29="🚫 N/A"</formula>
    </cfRule>
  </conditionalFormatting>
  <conditionalFormatting sqref="A30:H30">
    <cfRule type="expression" priority="941" dxfId="3">
      <formula>$G$30="🚫 N/A"</formula>
    </cfRule>
    <cfRule type="expression" priority="940" dxfId="0">
      <formula>$G$30="⚠️ PARTIEL"</formula>
    </cfRule>
    <cfRule type="expression" priority="939" dxfId="1">
      <formula>$G$30="❌ FAIL"</formula>
    </cfRule>
    <cfRule type="expression" priority="938" dxfId="2">
      <formula>$G$30="✅ PASS"</formula>
    </cfRule>
  </conditionalFormatting>
  <conditionalFormatting sqref="A31:H31">
    <cfRule type="expression" priority="974" dxfId="2">
      <formula>$G$31="✅ PASS"</formula>
    </cfRule>
    <cfRule type="expression" priority="975" dxfId="1">
      <formula>$G$31="❌ FAIL"</formula>
    </cfRule>
    <cfRule type="expression" priority="976" dxfId="0">
      <formula>$G$31="⚠️ PARTIEL"</formula>
    </cfRule>
    <cfRule type="expression" priority="977" dxfId="3">
      <formula>$G$31="🚫 N/A"</formula>
    </cfRule>
  </conditionalFormatting>
  <conditionalFormatting sqref="A32:H32">
    <cfRule type="expression" priority="1010" dxfId="2">
      <formula>$G$32="✅ PASS"</formula>
    </cfRule>
    <cfRule type="expression" priority="1012" dxfId="0">
      <formula>$G$32="⚠️ PARTIEL"</formula>
    </cfRule>
    <cfRule type="expression" priority="1013" dxfId="3">
      <formula>$G$32="🚫 N/A"</formula>
    </cfRule>
    <cfRule type="expression" priority="1011" dxfId="1">
      <formula>$G$32="❌ FAIL"</formula>
    </cfRule>
  </conditionalFormatting>
  <conditionalFormatting sqref="A33:H33">
    <cfRule type="expression" priority="1046" dxfId="2">
      <formula>$G$33="✅ PASS"</formula>
    </cfRule>
    <cfRule type="expression" priority="1047" dxfId="1">
      <formula>$G$33="❌ FAIL"</formula>
    </cfRule>
    <cfRule type="expression" priority="1048" dxfId="0">
      <formula>$G$33="⚠️ PARTIEL"</formula>
    </cfRule>
    <cfRule type="expression" priority="1049" dxfId="3">
      <formula>$G$33="🚫 N/A"</formula>
    </cfRule>
  </conditionalFormatting>
  <conditionalFormatting sqref="A34:H34">
    <cfRule type="expression" priority="1085" dxfId="3">
      <formula>$G$34="🚫 N/A"</formula>
    </cfRule>
    <cfRule type="expression" priority="1084" dxfId="0">
      <formula>$G$34="⚠️ PARTIEL"</formula>
    </cfRule>
    <cfRule type="expression" priority="1083" dxfId="1">
      <formula>$G$34="❌ FAIL"</formula>
    </cfRule>
    <cfRule type="expression" priority="1082" dxfId="2">
      <formula>$G$34="✅ PASS"</formula>
    </cfRule>
  </conditionalFormatting>
  <conditionalFormatting sqref="A35:H35">
    <cfRule type="expression" priority="1120" dxfId="0">
      <formula>$G$35="⚠️ PARTIEL"</formula>
    </cfRule>
    <cfRule type="expression" priority="1121" dxfId="3">
      <formula>$G$35="🚫 N/A"</formula>
    </cfRule>
    <cfRule type="expression" priority="1119" dxfId="1">
      <formula>$G$35="❌ FAIL"</formula>
    </cfRule>
    <cfRule type="expression" priority="1118" dxfId="2">
      <formula>$G$35="✅ PASS"</formula>
    </cfRule>
  </conditionalFormatting>
  <conditionalFormatting sqref="A36:H36">
    <cfRule type="expression" priority="1155" dxfId="1">
      <formula>$G$36="❌ FAIL"</formula>
    </cfRule>
    <cfRule type="expression" priority="1156" dxfId="0">
      <formula>$G$36="⚠️ PARTIEL"</formula>
    </cfRule>
    <cfRule type="expression" priority="1157" dxfId="3">
      <formula>$G$36="🚫 N/A"</formula>
    </cfRule>
    <cfRule type="expression" priority="1154" dxfId="2">
      <formula>$G$36="✅ PASS"</formula>
    </cfRule>
  </conditionalFormatting>
  <conditionalFormatting sqref="A37:H37">
    <cfRule type="expression" priority="1193" dxfId="3">
      <formula>$G$37="🚫 N/A"</formula>
    </cfRule>
    <cfRule type="expression" priority="1192" dxfId="0">
      <formula>$G$37="⚠️ PARTIEL"</formula>
    </cfRule>
    <cfRule type="expression" priority="1191" dxfId="1">
      <formula>$G$37="❌ FAIL"</formula>
    </cfRule>
    <cfRule type="expression" priority="1190" dxfId="2">
      <formula>$G$37="✅ PASS"</formula>
    </cfRule>
  </conditionalFormatting>
  <conditionalFormatting sqref="A38:H38">
    <cfRule type="expression" priority="1229" dxfId="3">
      <formula>$G$38="🚫 N/A"</formula>
    </cfRule>
    <cfRule type="expression" priority="1226" dxfId="2">
      <formula>$G$38="✅ PASS"</formula>
    </cfRule>
    <cfRule type="expression" priority="1227" dxfId="1">
      <formula>$G$38="❌ FAIL"</formula>
    </cfRule>
    <cfRule type="expression" priority="1228" dxfId="0">
      <formula>$G$38="⚠️ PARTIEL"</formula>
    </cfRule>
  </conditionalFormatting>
  <conditionalFormatting sqref="A39:H39">
    <cfRule type="expression" priority="1265" dxfId="3">
      <formula>$G$39="🚫 N/A"</formula>
    </cfRule>
    <cfRule type="expression" priority="1264" dxfId="0">
      <formula>$G$39="⚠️ PARTIEL"</formula>
    </cfRule>
    <cfRule type="expression" priority="1263" dxfId="1">
      <formula>$G$39="❌ FAIL"</formula>
    </cfRule>
    <cfRule type="expression" priority="1262" dxfId="2">
      <formula>$G$39="✅ PASS"</formula>
    </cfRule>
  </conditionalFormatting>
  <conditionalFormatting sqref="A40:H40">
    <cfRule type="expression" priority="1298" dxfId="2">
      <formula>$G$40="✅ PASS"</formula>
    </cfRule>
    <cfRule type="expression" priority="1301" dxfId="3">
      <formula>$G$40="🚫 N/A"</formula>
    </cfRule>
    <cfRule type="expression" priority="1300" dxfId="0">
      <formula>$G$40="⚠️ PARTIEL"</formula>
    </cfRule>
    <cfRule type="expression" priority="1299" dxfId="1">
      <formula>$G$40="❌ FAIL"</formula>
    </cfRule>
  </conditionalFormatting>
  <conditionalFormatting sqref="A41:H41">
    <cfRule type="expression" priority="1337" dxfId="3">
      <formula>$G$41="🚫 N/A"</formula>
    </cfRule>
    <cfRule type="expression" priority="1335" dxfId="1">
      <formula>$G$41="❌ FAIL"</formula>
    </cfRule>
    <cfRule type="expression" priority="1334" dxfId="2">
      <formula>$G$41="✅ PASS"</formula>
    </cfRule>
    <cfRule type="expression" priority="1336" dxfId="0">
      <formula>$G$41="⚠️ PARTIEL"</formula>
    </cfRule>
  </conditionalFormatting>
  <conditionalFormatting sqref="A42:H42">
    <cfRule type="expression" priority="1372" dxfId="0">
      <formula>$G$42="⚠️ PARTIEL"</formula>
    </cfRule>
    <cfRule type="expression" priority="1373" dxfId="3">
      <formula>$G$42="🚫 N/A"</formula>
    </cfRule>
    <cfRule type="expression" priority="1371" dxfId="1">
      <formula>$G$42="❌ FAIL"</formula>
    </cfRule>
    <cfRule type="expression" priority="1370" dxfId="2">
      <formula>$G$42="✅ PASS"</formula>
    </cfRule>
  </conditionalFormatting>
  <conditionalFormatting sqref="A43:H43">
    <cfRule type="expression" priority="1406" dxfId="2">
      <formula>$G$43="✅ PASS"</formula>
    </cfRule>
    <cfRule type="expression" priority="1407" dxfId="1">
      <formula>$G$43="❌ FAIL"</formula>
    </cfRule>
    <cfRule type="expression" priority="1408" dxfId="0">
      <formula>$G$43="⚠️ PARTIEL"</formula>
    </cfRule>
    <cfRule type="expression" priority="1409" dxfId="3">
      <formula>$G$43="🚫 N/A"</formula>
    </cfRule>
  </conditionalFormatting>
  <conditionalFormatting sqref="A44:H44">
    <cfRule type="expression" priority="1442" dxfId="2">
      <formula>$G$44="✅ PASS"</formula>
    </cfRule>
    <cfRule type="expression" priority="1445" dxfId="3">
      <formula>$G$44="🚫 N/A"</formula>
    </cfRule>
    <cfRule type="expression" priority="1444" dxfId="0">
      <formula>$G$44="⚠️ PARTIEL"</formula>
    </cfRule>
    <cfRule type="expression" priority="1443" dxfId="1">
      <formula>$G$44="❌ FAIL"</formula>
    </cfRule>
  </conditionalFormatting>
  <conditionalFormatting sqref="A45:H45">
    <cfRule type="expression" priority="1478" dxfId="2">
      <formula>$G$45="✅ PASS"</formula>
    </cfRule>
    <cfRule type="expression" priority="1479" dxfId="1">
      <formula>$G$45="❌ FAIL"</formula>
    </cfRule>
    <cfRule type="expression" priority="1481" dxfId="3">
      <formula>$G$45="🚫 N/A"</formula>
    </cfRule>
    <cfRule type="expression" priority="1480" dxfId="0">
      <formula>$G$45="⚠️ PARTIEL"</formula>
    </cfRule>
  </conditionalFormatting>
  <conditionalFormatting sqref="A46:H46">
    <cfRule type="expression" priority="1516" dxfId="0">
      <formula>$G$46="⚠️ PARTIEL"</formula>
    </cfRule>
    <cfRule type="expression" priority="1515" dxfId="1">
      <formula>$G$46="❌ FAIL"</formula>
    </cfRule>
    <cfRule type="expression" priority="1514" dxfId="2">
      <formula>$G$46="✅ PASS"</formula>
    </cfRule>
    <cfRule type="expression" priority="1517" dxfId="3">
      <formula>$G$46="🚫 N/A"</formula>
    </cfRule>
  </conditionalFormatting>
  <conditionalFormatting sqref="A47:H47">
    <cfRule type="expression" priority="1553" dxfId="3">
      <formula>$G$47="🚫 N/A"</formula>
    </cfRule>
    <cfRule type="expression" priority="1550" dxfId="2">
      <formula>$G$47="✅ PASS"</formula>
    </cfRule>
    <cfRule type="expression" priority="1551" dxfId="1">
      <formula>$G$47="❌ FAIL"</formula>
    </cfRule>
    <cfRule type="expression" priority="1552" dxfId="0">
      <formula>$G$47="⚠️ PARTIEL"</formula>
    </cfRule>
  </conditionalFormatting>
  <conditionalFormatting sqref="A48:H48">
    <cfRule type="expression" priority="1587" dxfId="1">
      <formula>$G$48="❌ FAIL"</formula>
    </cfRule>
    <cfRule type="expression" priority="1588" dxfId="0">
      <formula>$G$48="⚠️ PARTIEL"</formula>
    </cfRule>
    <cfRule type="expression" priority="1589" dxfId="3">
      <formula>$G$48="🚫 N/A"</formula>
    </cfRule>
    <cfRule type="expression" priority="1586" dxfId="2">
      <formula>$G$48="✅ PASS"</formula>
    </cfRule>
  </conditionalFormatting>
  <conditionalFormatting sqref="A49:H49">
    <cfRule type="expression" priority="1625" dxfId="3">
      <formula>$G$49="🚫 N/A"</formula>
    </cfRule>
    <cfRule type="expression" priority="1622" dxfId="2">
      <formula>$G$49="✅ PASS"</formula>
    </cfRule>
    <cfRule type="expression" priority="1623" dxfId="1">
      <formula>$G$49="❌ FAIL"</formula>
    </cfRule>
    <cfRule type="expression" priority="1624" dxfId="0">
      <formula>$G$49="⚠️ PARTIEL"</formula>
    </cfRule>
  </conditionalFormatting>
  <conditionalFormatting sqref="A50:H50">
    <cfRule type="expression" priority="1660" dxfId="0">
      <formula>$G$50="⚠️ PARTIEL"</formula>
    </cfRule>
    <cfRule type="expression" priority="1658" dxfId="2">
      <formula>$G$50="✅ PASS"</formula>
    </cfRule>
    <cfRule type="expression" priority="1659" dxfId="1">
      <formula>$G$50="❌ FAIL"</formula>
    </cfRule>
    <cfRule type="expression" priority="1661" dxfId="3">
      <formula>$G$50="🚫 N/A"</formula>
    </cfRule>
  </conditionalFormatting>
  <conditionalFormatting sqref="A51:H51">
    <cfRule type="expression" priority="1695" dxfId="1">
      <formula>$G$51="❌ FAIL"</formula>
    </cfRule>
    <cfRule type="expression" priority="1696" dxfId="0">
      <formula>$G$51="⚠️ PARTIEL"</formula>
    </cfRule>
    <cfRule type="expression" priority="1697" dxfId="3">
      <formula>$G$51="🚫 N/A"</formula>
    </cfRule>
    <cfRule type="expression" priority="1694" dxfId="2">
      <formula>$G$51="✅ PASS"</formula>
    </cfRule>
  </conditionalFormatting>
  <conditionalFormatting sqref="A52:H52">
    <cfRule type="expression" priority="1733" dxfId="3">
      <formula>$G$52="🚫 N/A"</formula>
    </cfRule>
    <cfRule type="expression" priority="1732" dxfId="0">
      <formula>$G$52="⚠️ PARTIEL"</formula>
    </cfRule>
    <cfRule type="expression" priority="1731" dxfId="1">
      <formula>$G$52="❌ FAIL"</formula>
    </cfRule>
    <cfRule type="expression" priority="1730" dxfId="2">
      <formula>$G$52="✅ PASS"</formula>
    </cfRule>
  </conditionalFormatting>
  <conditionalFormatting sqref="A53:H53">
    <cfRule type="expression" priority="1769" dxfId="3">
      <formula>$G$53="🚫 N/A"</formula>
    </cfRule>
    <cfRule type="expression" priority="1768" dxfId="0">
      <formula>$G$53="⚠️ PARTIEL"</formula>
    </cfRule>
    <cfRule type="expression" priority="1767" dxfId="1">
      <formula>$G$53="❌ FAIL"</formula>
    </cfRule>
    <cfRule type="expression" priority="1766" dxfId="2">
      <formula>$G$53="✅ PASS"</formula>
    </cfRule>
  </conditionalFormatting>
  <conditionalFormatting sqref="A54:H54">
    <cfRule type="expression" priority="1802" dxfId="2">
      <formula>$G$54="✅ PASS"</formula>
    </cfRule>
    <cfRule type="expression" priority="1803" dxfId="1">
      <formula>$G$54="❌ FAIL"</formula>
    </cfRule>
    <cfRule type="expression" priority="1804" dxfId="0">
      <formula>$G$54="⚠️ PARTIEL"</formula>
    </cfRule>
    <cfRule type="expression" priority="1805" dxfId="3">
      <formula>$G$54="🚫 N/A"</formula>
    </cfRule>
  </conditionalFormatting>
  <conditionalFormatting sqref="A55:H55">
    <cfRule type="expression" priority="1841" dxfId="3">
      <formula>$G$55="🚫 N/A"</formula>
    </cfRule>
    <cfRule type="expression" priority="1840" dxfId="0">
      <formula>$G$55="⚠️ PARTIEL"</formula>
    </cfRule>
    <cfRule type="expression" priority="1839" dxfId="1">
      <formula>$G$55="❌ FAIL"</formula>
    </cfRule>
    <cfRule type="expression" priority="1838" dxfId="2">
      <formula>$G$55="✅ PASS"</formula>
    </cfRule>
  </conditionalFormatting>
  <conditionalFormatting sqref="A56:H56">
    <cfRule type="expression" priority="1874" dxfId="2">
      <formula>$G$56="✅ PASS"</formula>
    </cfRule>
    <cfRule type="expression" priority="1877" dxfId="3">
      <formula>$G$56="🚫 N/A"</formula>
    </cfRule>
    <cfRule type="expression" priority="1876" dxfId="0">
      <formula>$G$56="⚠️ PARTIEL"</formula>
    </cfRule>
    <cfRule type="expression" priority="1875" dxfId="1">
      <formula>$G$56="❌ FAIL"</formula>
    </cfRule>
  </conditionalFormatting>
  <conditionalFormatting sqref="A57:H57">
    <cfRule type="expression" priority="1913" dxfId="3">
      <formula>$G$57="🚫 N/A"</formula>
    </cfRule>
    <cfRule type="expression" priority="1910" dxfId="2">
      <formula>$G$57="✅ PASS"</formula>
    </cfRule>
    <cfRule type="expression" priority="1911" dxfId="1">
      <formula>$G$57="❌ FAIL"</formula>
    </cfRule>
    <cfRule type="expression" priority="1912" dxfId="0">
      <formula>$G$57="⚠️ PARTIEL"</formula>
    </cfRule>
  </conditionalFormatting>
  <conditionalFormatting sqref="A58:H58">
    <cfRule type="expression" priority="1949" dxfId="3">
      <formula>$G$58="🚫 N/A"</formula>
    </cfRule>
    <cfRule type="expression" priority="1946" dxfId="2">
      <formula>$G$58="✅ PASS"</formula>
    </cfRule>
    <cfRule type="expression" priority="1947" dxfId="1">
      <formula>$G$58="❌ FAIL"</formula>
    </cfRule>
    <cfRule type="expression" priority="1948" dxfId="0">
      <formula>$G$58="⚠️ PARTIEL"</formula>
    </cfRule>
  </conditionalFormatting>
  <conditionalFormatting sqref="A59:H59">
    <cfRule type="expression" priority="1984" dxfId="0">
      <formula>$G$59="⚠️ PARTIEL"</formula>
    </cfRule>
    <cfRule type="expression" priority="1983" dxfId="1">
      <formula>$G$59="❌ FAIL"</formula>
    </cfRule>
    <cfRule type="expression" priority="1985" dxfId="3">
      <formula>$G$59="🚫 N/A"</formula>
    </cfRule>
    <cfRule type="expression" priority="1982" dxfId="2">
      <formula>$G$59="✅ PASS"</formula>
    </cfRule>
  </conditionalFormatting>
  <conditionalFormatting sqref="A60:H60">
    <cfRule type="expression" priority="2020" dxfId="0">
      <formula>$G$60="⚠️ PARTIEL"</formula>
    </cfRule>
    <cfRule type="expression" priority="2019" dxfId="1">
      <formula>$G$60="❌ FAIL"</formula>
    </cfRule>
    <cfRule type="expression" priority="2018" dxfId="2">
      <formula>$G$60="✅ PASS"</formula>
    </cfRule>
    <cfRule type="expression" priority="2021" dxfId="3">
      <formula>$G$60="🚫 N/A"</formula>
    </cfRule>
  </conditionalFormatting>
  <conditionalFormatting sqref="A61:H61">
    <cfRule type="expression" priority="2055" dxfId="1">
      <formula>$G$61="❌ FAIL"</formula>
    </cfRule>
    <cfRule type="expression" priority="2054" dxfId="2">
      <formula>$G$61="✅ PASS"</formula>
    </cfRule>
    <cfRule type="expression" priority="2057" dxfId="3">
      <formula>$G$61="🚫 N/A"</formula>
    </cfRule>
    <cfRule type="expression" priority="2056" dxfId="0">
      <formula>$G$61="⚠️ PARTIEL"</formula>
    </cfRule>
  </conditionalFormatting>
  <conditionalFormatting sqref="A62:H62">
    <cfRule type="expression" priority="2090" dxfId="2">
      <formula>$G$62="✅ PASS"</formula>
    </cfRule>
    <cfRule type="expression" priority="2093" dxfId="3">
      <formula>$G$62="🚫 N/A"</formula>
    </cfRule>
    <cfRule type="expression" priority="2091" dxfId="1">
      <formula>$G$62="❌ FAIL"</formula>
    </cfRule>
    <cfRule type="expression" priority="2092" dxfId="0">
      <formula>$G$62="⚠️ PARTIEL"</formula>
    </cfRule>
  </conditionalFormatting>
  <conditionalFormatting sqref="A63:H63">
    <cfRule type="expression" priority="2126" dxfId="2">
      <formula>$G$63="✅ PASS"</formula>
    </cfRule>
    <cfRule type="expression" priority="2127" dxfId="1">
      <formula>$G$63="❌ FAIL"</formula>
    </cfRule>
    <cfRule type="expression" priority="2128" dxfId="0">
      <formula>$G$63="⚠️ PARTIEL"</formula>
    </cfRule>
    <cfRule type="expression" priority="2129" dxfId="3">
      <formula>$G$63="🚫 N/A"</formula>
    </cfRule>
  </conditionalFormatting>
  <conditionalFormatting sqref="A64:H64">
    <cfRule type="expression" priority="2165" dxfId="3">
      <formula>$G$64="🚫 N/A"</formula>
    </cfRule>
    <cfRule type="expression" priority="2164" dxfId="0">
      <formula>$G$64="⚠️ PARTIEL"</formula>
    </cfRule>
    <cfRule type="expression" priority="2163" dxfId="1">
      <formula>$G$64="❌ FAIL"</formula>
    </cfRule>
    <cfRule type="expression" priority="2162" dxfId="2">
      <formula>$G$64="✅ PASS"</formula>
    </cfRule>
  </conditionalFormatting>
  <conditionalFormatting sqref="A65:H65">
    <cfRule type="expression" priority="2200" dxfId="0">
      <formula>$G$65="⚠️ PARTIEL"</formula>
    </cfRule>
    <cfRule type="expression" priority="2201" dxfId="3">
      <formula>$G$65="🚫 N/A"</formula>
    </cfRule>
    <cfRule type="expression" priority="2199" dxfId="1">
      <formula>$G$65="❌ FAIL"</formula>
    </cfRule>
    <cfRule type="expression" priority="2198" dxfId="2">
      <formula>$G$65="✅ PASS"</formula>
    </cfRule>
  </conditionalFormatting>
  <conditionalFormatting sqref="A66:H66">
    <cfRule type="expression" priority="2236" dxfId="0">
      <formula>$G$66="⚠️ PARTIEL"</formula>
    </cfRule>
    <cfRule type="expression" priority="2235" dxfId="1">
      <formula>$G$66="❌ FAIL"</formula>
    </cfRule>
    <cfRule type="expression" priority="2234" dxfId="2">
      <formula>$G$66="✅ PASS"</formula>
    </cfRule>
    <cfRule type="expression" priority="2237" dxfId="3">
      <formula>$G$66="🚫 N/A"</formula>
    </cfRule>
  </conditionalFormatting>
  <conditionalFormatting sqref="A67:H67">
    <cfRule type="expression" priority="2272" dxfId="0">
      <formula>$G$67="⚠️ PARTIEL"</formula>
    </cfRule>
    <cfRule type="expression" priority="2271" dxfId="1">
      <formula>$G$67="❌ FAIL"</formula>
    </cfRule>
    <cfRule type="expression" priority="2270" dxfId="2">
      <formula>$G$67="✅ PASS"</formula>
    </cfRule>
    <cfRule type="expression" priority="2273" dxfId="3">
      <formula>$G$67="🚫 N/A"</formula>
    </cfRule>
  </conditionalFormatting>
  <conditionalFormatting sqref="A68:H68">
    <cfRule type="expression" priority="2306" dxfId="2">
      <formula>$G$68="✅ PASS"</formula>
    </cfRule>
    <cfRule type="expression" priority="2309" dxfId="3">
      <formula>$G$68="🚫 N/A"</formula>
    </cfRule>
    <cfRule type="expression" priority="2308" dxfId="0">
      <formula>$G$68="⚠️ PARTIEL"</formula>
    </cfRule>
    <cfRule type="expression" priority="2307" dxfId="1">
      <formula>$G$68="❌ FAIL"</formula>
    </cfRule>
  </conditionalFormatting>
  <conditionalFormatting sqref="A69:H69">
    <cfRule type="expression" priority="2345" dxfId="3">
      <formula>$G$69="🚫 N/A"</formula>
    </cfRule>
    <cfRule type="expression" priority="2342" dxfId="2">
      <formula>$G$69="✅ PASS"</formula>
    </cfRule>
    <cfRule type="expression" priority="2344" dxfId="0">
      <formula>$G$69="⚠️ PARTIEL"</formula>
    </cfRule>
    <cfRule type="expression" priority="2343" dxfId="1">
      <formula>$G$69="❌ FAIL"</formula>
    </cfRule>
  </conditionalFormatting>
  <conditionalFormatting sqref="A70:H70">
    <cfRule type="expression" priority="2381" dxfId="3">
      <formula>$G$70="🚫 N/A"</formula>
    </cfRule>
    <cfRule type="expression" priority="2380" dxfId="0">
      <formula>$G$70="⚠️ PARTIEL"</formula>
    </cfRule>
    <cfRule type="expression" priority="2379" dxfId="1">
      <formula>$G$70="❌ FAIL"</formula>
    </cfRule>
    <cfRule type="expression" priority="2378" dxfId="2">
      <formula>$G$70="✅ PASS"</formula>
    </cfRule>
  </conditionalFormatting>
  <conditionalFormatting sqref="A71:H71">
    <cfRule type="expression" priority="2417" dxfId="3">
      <formula>$G$71="🚫 N/A"</formula>
    </cfRule>
    <cfRule type="expression" priority="2416" dxfId="0">
      <formula>$G$71="⚠️ PARTIEL"</formula>
    </cfRule>
    <cfRule type="expression" priority="2415" dxfId="1">
      <formula>$G$71="❌ FAIL"</formula>
    </cfRule>
    <cfRule type="expression" priority="2414" dxfId="2">
      <formula>$G$71="✅ PASS"</formula>
    </cfRule>
  </conditionalFormatting>
  <conditionalFormatting sqref="A72:H72">
    <cfRule type="expression" priority="2450" dxfId="2">
      <formula>$G$72="✅ PASS"</formula>
    </cfRule>
    <cfRule type="expression" priority="2451" dxfId="1">
      <formula>$G$72="❌ FAIL"</formula>
    </cfRule>
    <cfRule type="expression" priority="2452" dxfId="0">
      <formula>$G$72="⚠️ PARTIEL"</formula>
    </cfRule>
    <cfRule type="expression" priority="2453" dxfId="3">
      <formula>$G$72="🚫 N/A"</formula>
    </cfRule>
  </conditionalFormatting>
  <conditionalFormatting sqref="A73:H73">
    <cfRule type="expression" priority="2487" dxfId="1">
      <formula>$G$73="❌ FAIL"</formula>
    </cfRule>
    <cfRule type="expression" priority="2486" dxfId="2">
      <formula>$G$73="✅ PASS"</formula>
    </cfRule>
    <cfRule type="expression" priority="2488" dxfId="0">
      <formula>$G$73="⚠️ PARTIEL"</formula>
    </cfRule>
    <cfRule type="expression" priority="2489" dxfId="3">
      <formula>$G$73="🚫 N/A"</formula>
    </cfRule>
  </conditionalFormatting>
  <conditionalFormatting sqref="A74:H74">
    <cfRule type="expression" priority="2522" dxfId="2">
      <formula>$G$74="✅ PASS"</formula>
    </cfRule>
    <cfRule type="expression" priority="2525" dxfId="3">
      <formula>$G$74="🚫 N/A"</formula>
    </cfRule>
    <cfRule type="expression" priority="2524" dxfId="0">
      <formula>$G$74="⚠️ PARTIEL"</formula>
    </cfRule>
    <cfRule type="expression" priority="2523" dxfId="1">
      <formula>$G$74="❌ FAIL"</formula>
    </cfRule>
  </conditionalFormatting>
  <conditionalFormatting sqref="A75:H75">
    <cfRule type="expression" priority="2558" dxfId="2">
      <formula>$G$75="✅ PASS"</formula>
    </cfRule>
    <cfRule type="expression" priority="2560" dxfId="0">
      <formula>$G$75="⚠️ PARTIEL"</formula>
    </cfRule>
    <cfRule type="expression" priority="2561" dxfId="3">
      <formula>$G$75="🚫 N/A"</formula>
    </cfRule>
    <cfRule type="expression" priority="2559" dxfId="1">
      <formula>$G$75="❌ FAIL"</formula>
    </cfRule>
  </conditionalFormatting>
  <conditionalFormatting sqref="A76:H76">
    <cfRule type="expression" priority="2596" dxfId="0">
      <formula>$G$76="⚠️ PARTIEL"</formula>
    </cfRule>
    <cfRule type="expression" priority="2594" dxfId="2">
      <formula>$G$76="✅ PASS"</formula>
    </cfRule>
    <cfRule type="expression" priority="2595" dxfId="1">
      <formula>$G$76="❌ FAIL"</formula>
    </cfRule>
    <cfRule type="expression" priority="2597" dxfId="3">
      <formula>$G$76="🚫 N/A"</formula>
    </cfRule>
  </conditionalFormatting>
  <conditionalFormatting sqref="A77:H77">
    <cfRule type="expression" priority="2631" dxfId="1">
      <formula>$G$77="❌ FAIL"</formula>
    </cfRule>
    <cfRule type="expression" priority="2633" dxfId="3">
      <formula>$G$77="🚫 N/A"</formula>
    </cfRule>
    <cfRule type="expression" priority="2632" dxfId="0">
      <formula>$G$77="⚠️ PARTIEL"</formula>
    </cfRule>
    <cfRule type="expression" priority="2630" dxfId="2">
      <formula>$G$77="✅ PASS"</formula>
    </cfRule>
  </conditionalFormatting>
  <conditionalFormatting sqref="A78:H78">
    <cfRule type="expression" priority="2666" dxfId="2">
      <formula>$G$78="✅ PASS"</formula>
    </cfRule>
    <cfRule type="expression" priority="2668" dxfId="0">
      <formula>$G$78="⚠️ PARTIEL"</formula>
    </cfRule>
    <cfRule type="expression" priority="2667" dxfId="1">
      <formula>$G$78="❌ FAIL"</formula>
    </cfRule>
    <cfRule type="expression" priority="2669" dxfId="3">
      <formula>$G$78="🚫 N/A"</formula>
    </cfRule>
  </conditionalFormatting>
  <conditionalFormatting sqref="A79:H79">
    <cfRule type="expression" priority="2704" dxfId="0">
      <formula>$G$79="⚠️ PARTIEL"</formula>
    </cfRule>
    <cfRule type="expression" priority="2703" dxfId="1">
      <formula>$G$79="❌ FAIL"</formula>
    </cfRule>
    <cfRule type="expression" priority="2705" dxfId="3">
      <formula>$G$79="🚫 N/A"</formula>
    </cfRule>
    <cfRule type="expression" priority="2702" dxfId="2">
      <formula>$G$79="✅ PASS"</formula>
    </cfRule>
  </conditionalFormatting>
  <conditionalFormatting sqref="A80:H80">
    <cfRule type="expression" priority="2738" dxfId="2">
      <formula>$G$80="✅ PASS"</formula>
    </cfRule>
    <cfRule type="expression" priority="2739" dxfId="1">
      <formula>$G$80="❌ FAIL"</formula>
    </cfRule>
    <cfRule type="expression" priority="2740" dxfId="0">
      <formula>$G$80="⚠️ PARTIEL"</formula>
    </cfRule>
    <cfRule type="expression" priority="2741" dxfId="3">
      <formula>$G$80="🚫 N/A"</formula>
    </cfRule>
  </conditionalFormatting>
  <conditionalFormatting sqref="A81:H81">
    <cfRule type="expression" priority="2775" dxfId="1">
      <formula>$G$81="❌ FAIL"</formula>
    </cfRule>
    <cfRule type="expression" priority="2774" dxfId="2">
      <formula>$G$81="✅ PASS"</formula>
    </cfRule>
    <cfRule type="expression" priority="2777" dxfId="3">
      <formula>$G$81="🚫 N/A"</formula>
    </cfRule>
    <cfRule type="expression" priority="2776" dxfId="0">
      <formula>$G$81="⚠️ PARTIEL"</formula>
    </cfRule>
  </conditionalFormatting>
  <conditionalFormatting sqref="A82:H82">
    <cfRule type="expression" priority="2811" dxfId="1">
      <formula>$G$82="❌ FAIL"</formula>
    </cfRule>
    <cfRule type="expression" priority="2812" dxfId="0">
      <formula>$G$82="⚠️ PARTIEL"</formula>
    </cfRule>
    <cfRule type="expression" priority="2813" dxfId="3">
      <formula>$G$82="🚫 N/A"</formula>
    </cfRule>
    <cfRule type="expression" priority="2810" dxfId="2">
      <formula>$G$82="✅ PASS"</formula>
    </cfRule>
  </conditionalFormatting>
  <conditionalFormatting sqref="A83:H83">
    <cfRule type="expression" priority="2849" dxfId="3">
      <formula>$G$83="🚫 N/A"</formula>
    </cfRule>
    <cfRule type="expression" priority="2848" dxfId="0">
      <formula>$G$83="⚠️ PARTIEL"</formula>
    </cfRule>
    <cfRule type="expression" priority="2847" dxfId="1">
      <formula>$G$83="❌ FAIL"</formula>
    </cfRule>
    <cfRule type="expression" priority="2846" dxfId="2">
      <formula>$G$83="✅ PASS"</formula>
    </cfRule>
  </conditionalFormatting>
  <conditionalFormatting sqref="A84:H84">
    <cfRule type="expression" priority="2885" dxfId="3">
      <formula>$G$84="🚫 N/A"</formula>
    </cfRule>
    <cfRule type="expression" priority="2884" dxfId="0">
      <formula>$G$84="⚠️ PARTIEL"</formula>
    </cfRule>
    <cfRule type="expression" priority="2882" dxfId="2">
      <formula>$G$84="✅ PASS"</formula>
    </cfRule>
    <cfRule type="expression" priority="2883" dxfId="1">
      <formula>$G$84="❌ FAIL"</formula>
    </cfRule>
  </conditionalFormatting>
  <conditionalFormatting sqref="A85:H85">
    <cfRule type="expression" priority="2919" dxfId="1">
      <formula>$G$85="❌ FAIL"</formula>
    </cfRule>
    <cfRule type="expression" priority="2918" dxfId="2">
      <formula>$G$85="✅ PASS"</formula>
    </cfRule>
    <cfRule type="expression" priority="2920" dxfId="0">
      <formula>$G$85="⚠️ PARTIEL"</formula>
    </cfRule>
    <cfRule type="expression" priority="2921" dxfId="3">
      <formula>$G$85="🚫 N/A"</formula>
    </cfRule>
  </conditionalFormatting>
  <conditionalFormatting sqref="A86:H86">
    <cfRule type="expression" priority="2955" dxfId="1">
      <formula>$G$86="❌ FAIL"</formula>
    </cfRule>
    <cfRule type="expression" priority="2956" dxfId="0">
      <formula>$G$86="⚠️ PARTIEL"</formula>
    </cfRule>
    <cfRule type="expression" priority="2957" dxfId="3">
      <formula>$G$86="🚫 N/A"</formula>
    </cfRule>
    <cfRule type="expression" priority="2954" dxfId="2">
      <formula>$G$86="✅ PASS"</formula>
    </cfRule>
  </conditionalFormatting>
  <conditionalFormatting sqref="A87:H87">
    <cfRule type="expression" priority="2990" dxfId="2">
      <formula>$G$87="✅ PASS"</formula>
    </cfRule>
    <cfRule type="expression" priority="2991" dxfId="1">
      <formula>$G$87="❌ FAIL"</formula>
    </cfRule>
    <cfRule type="expression" priority="2992" dxfId="0">
      <formula>$G$87="⚠️ PARTIEL"</formula>
    </cfRule>
    <cfRule type="expression" priority="2993" dxfId="3">
      <formula>$G$87="🚫 N/A"</formula>
    </cfRule>
  </conditionalFormatting>
  <conditionalFormatting sqref="A88:H88">
    <cfRule type="expression" priority="3028" dxfId="0">
      <formula>$G$88="⚠️ PARTIEL"</formula>
    </cfRule>
    <cfRule type="expression" priority="3027" dxfId="1">
      <formula>$G$88="❌ FAIL"</formula>
    </cfRule>
    <cfRule type="expression" priority="3026" dxfId="2">
      <formula>$G$88="✅ PASS"</formula>
    </cfRule>
    <cfRule type="expression" priority="3029" dxfId="3">
      <formula>$G$88="🚫 N/A"</formula>
    </cfRule>
  </conditionalFormatting>
  <conditionalFormatting sqref="A89:H89">
    <cfRule type="expression" priority="3064" dxfId="0">
      <formula>$G$89="⚠️ PARTIEL"</formula>
    </cfRule>
    <cfRule type="expression" priority="3063" dxfId="1">
      <formula>$G$89="❌ FAIL"</formula>
    </cfRule>
    <cfRule type="expression" priority="3062" dxfId="2">
      <formula>$G$89="✅ PASS"</formula>
    </cfRule>
    <cfRule type="expression" priority="3065" dxfId="3">
      <formula>$G$89="🚫 N/A"</formula>
    </cfRule>
  </conditionalFormatting>
  <conditionalFormatting sqref="A90:H90">
    <cfRule type="expression" priority="3099" dxfId="1">
      <formula>$G$90="❌ FAIL"</formula>
    </cfRule>
    <cfRule type="expression" priority="3101" dxfId="3">
      <formula>$G$90="🚫 N/A"</formula>
    </cfRule>
    <cfRule type="expression" priority="3100" dxfId="0">
      <formula>$G$90="⚠️ PARTIEL"</formula>
    </cfRule>
    <cfRule type="expression" priority="3098" dxfId="2">
      <formula>$G$90="✅ PASS"</formula>
    </cfRule>
  </conditionalFormatting>
  <conditionalFormatting sqref="K4">
    <cfRule type="expression" priority="35" dxfId="1">
      <formula>$G$4="❌ FAIL"</formula>
    </cfRule>
    <cfRule type="expression" priority="36" dxfId="0">
      <formula>$G$4="⚠️ PARTIEL"</formula>
    </cfRule>
    <cfRule type="expression" priority="37" dxfId="3">
      <formula>$G$4="🚫 N/A"</formula>
    </cfRule>
    <cfRule type="expression" priority="34" dxfId="2">
      <formula>$G$4="✅ PASS"</formula>
    </cfRule>
  </conditionalFormatting>
  <conditionalFormatting sqref="K5">
    <cfRule type="expression" priority="70" dxfId="2">
      <formula>$G$5="✅ PASS"</formula>
    </cfRule>
    <cfRule type="expression" priority="71" dxfId="1">
      <formula>$G$5="❌ FAIL"</formula>
    </cfRule>
    <cfRule type="expression" priority="72" dxfId="0">
      <formula>$G$5="⚠️ PARTIEL"</formula>
    </cfRule>
    <cfRule type="expression" priority="73" dxfId="3">
      <formula>$G$5="🚫 N/A"</formula>
    </cfRule>
  </conditionalFormatting>
  <conditionalFormatting sqref="K6">
    <cfRule type="expression" priority="109" dxfId="3">
      <formula>$G$6="🚫 N/A"</formula>
    </cfRule>
    <cfRule type="expression" priority="108" dxfId="0">
      <formula>$G$6="⚠️ PARTIEL"</formula>
    </cfRule>
    <cfRule type="expression" priority="107" dxfId="1">
      <formula>$G$6="❌ FAIL"</formula>
    </cfRule>
    <cfRule type="expression" priority="106" dxfId="2">
      <formula>$G$6="✅ PASS"</formula>
    </cfRule>
  </conditionalFormatting>
  <conditionalFormatting sqref="K7">
    <cfRule type="expression" priority="143" dxfId="1">
      <formula>$G$7="❌ FAIL"</formula>
    </cfRule>
    <cfRule type="expression" priority="142" dxfId="2">
      <formula>$G$7="✅ PASS"</formula>
    </cfRule>
    <cfRule type="expression" priority="144" dxfId="0">
      <formula>$G$7="⚠️ PARTIEL"</formula>
    </cfRule>
    <cfRule type="expression" priority="145" dxfId="3">
      <formula>$G$7="🚫 N/A"</formula>
    </cfRule>
  </conditionalFormatting>
  <conditionalFormatting sqref="K8">
    <cfRule type="expression" priority="180" dxfId="0">
      <formula>$G$8="⚠️ PARTIEL"</formula>
    </cfRule>
    <cfRule type="expression" priority="179" dxfId="1">
      <formula>$G$8="❌ FAIL"</formula>
    </cfRule>
    <cfRule type="expression" priority="181" dxfId="3">
      <formula>$G$8="🚫 N/A"</formula>
    </cfRule>
    <cfRule type="expression" priority="178" dxfId="2">
      <formula>$G$8="✅ PASS"</formula>
    </cfRule>
  </conditionalFormatting>
  <conditionalFormatting sqref="K9">
    <cfRule type="expression" priority="214" dxfId="2">
      <formula>$G$9="✅ PASS"</formula>
    </cfRule>
    <cfRule type="expression" priority="215" dxfId="1">
      <formula>$G$9="❌ FAIL"</formula>
    </cfRule>
    <cfRule type="expression" priority="216" dxfId="0">
      <formula>$G$9="⚠️ PARTIEL"</formula>
    </cfRule>
    <cfRule type="expression" priority="217" dxfId="3">
      <formula>$G$9="🚫 N/A"</formula>
    </cfRule>
  </conditionalFormatting>
  <conditionalFormatting sqref="K10">
    <cfRule type="expression" priority="252" dxfId="0">
      <formula>$G$10="⚠️ PARTIEL"</formula>
    </cfRule>
    <cfRule type="expression" priority="251" dxfId="1">
      <formula>$G$10="❌ FAIL"</formula>
    </cfRule>
    <cfRule type="expression" priority="250" dxfId="2">
      <formula>$G$10="✅ PASS"</formula>
    </cfRule>
    <cfRule type="expression" priority="253" dxfId="3">
      <formula>$G$10="🚫 N/A"</formula>
    </cfRule>
  </conditionalFormatting>
  <conditionalFormatting sqref="K11">
    <cfRule type="expression" priority="286" dxfId="2">
      <formula>$G$11="✅ PASS"</formula>
    </cfRule>
    <cfRule type="expression" priority="287" dxfId="1">
      <formula>$G$11="❌ FAIL"</formula>
    </cfRule>
    <cfRule type="expression" priority="288" dxfId="0">
      <formula>$G$11="⚠️ PARTIEL"</formula>
    </cfRule>
    <cfRule type="expression" priority="289" dxfId="3">
      <formula>$G$11="🚫 N/A"</formula>
    </cfRule>
  </conditionalFormatting>
  <conditionalFormatting sqref="K12">
    <cfRule type="expression" priority="322" dxfId="2">
      <formula>$G$12="✅ PASS"</formula>
    </cfRule>
    <cfRule type="expression" priority="323" dxfId="1">
      <formula>$G$12="❌ FAIL"</formula>
    </cfRule>
    <cfRule type="expression" priority="324" dxfId="0">
      <formula>$G$12="⚠️ PARTIEL"</formula>
    </cfRule>
    <cfRule type="expression" priority="325" dxfId="3">
      <formula>$G$12="🚫 N/A"</formula>
    </cfRule>
  </conditionalFormatting>
  <conditionalFormatting sqref="K13">
    <cfRule type="expression" priority="358" dxfId="2">
      <formula>$G$13="✅ PASS"</formula>
    </cfRule>
    <cfRule type="expression" priority="361" dxfId="3">
      <formula>$G$13="🚫 N/A"</formula>
    </cfRule>
    <cfRule type="expression" priority="360" dxfId="0">
      <formula>$G$13="⚠️ PARTIEL"</formula>
    </cfRule>
    <cfRule type="expression" priority="359" dxfId="1">
      <formula>$G$13="❌ FAIL"</formula>
    </cfRule>
  </conditionalFormatting>
  <conditionalFormatting sqref="K14">
    <cfRule type="expression" priority="397" dxfId="3">
      <formula>$G$14="🚫 N/A"</formula>
    </cfRule>
    <cfRule type="expression" priority="394" dxfId="2">
      <formula>$G$14="✅ PASS"</formula>
    </cfRule>
    <cfRule type="expression" priority="395" dxfId="1">
      <formula>$G$14="❌ FAIL"</formula>
    </cfRule>
    <cfRule type="expression" priority="396" dxfId="0">
      <formula>$G$14="⚠️ PARTIEL"</formula>
    </cfRule>
  </conditionalFormatting>
  <conditionalFormatting sqref="K15">
    <cfRule type="expression" priority="433" dxfId="3">
      <formula>$G$15="🚫 N/A"</formula>
    </cfRule>
    <cfRule type="expression" priority="432" dxfId="0">
      <formula>$G$15="⚠️ PARTIEL"</formula>
    </cfRule>
    <cfRule type="expression" priority="431" dxfId="1">
      <formula>$G$15="❌ FAIL"</formula>
    </cfRule>
    <cfRule type="expression" priority="430" dxfId="2">
      <formula>$G$15="✅ PASS"</formula>
    </cfRule>
  </conditionalFormatting>
  <conditionalFormatting sqref="K16">
    <cfRule type="expression" priority="468" dxfId="0">
      <formula>$G$16="⚠️ PARTIEL"</formula>
    </cfRule>
    <cfRule type="expression" priority="469" dxfId="3">
      <formula>$G$16="🚫 N/A"</formula>
    </cfRule>
    <cfRule type="expression" priority="467" dxfId="1">
      <formula>$G$16="❌ FAIL"</formula>
    </cfRule>
    <cfRule type="expression" priority="466" dxfId="2">
      <formula>$G$16="✅ PASS"</formula>
    </cfRule>
  </conditionalFormatting>
  <conditionalFormatting sqref="K17">
    <cfRule type="expression" priority="505" dxfId="3">
      <formula>$G$17="🚫 N/A"</formula>
    </cfRule>
    <cfRule type="expression" priority="503" dxfId="1">
      <formula>$G$17="❌ FAIL"</formula>
    </cfRule>
    <cfRule type="expression" priority="504" dxfId="0">
      <formula>$G$17="⚠️ PARTIEL"</formula>
    </cfRule>
    <cfRule type="expression" priority="502" dxfId="2">
      <formula>$G$17="✅ PASS"</formula>
    </cfRule>
  </conditionalFormatting>
  <conditionalFormatting sqref="K18">
    <cfRule type="expression" priority="539" dxfId="1">
      <formula>$G$18="❌ FAIL"</formula>
    </cfRule>
    <cfRule type="expression" priority="541" dxfId="3">
      <formula>$G$18="🚫 N/A"</formula>
    </cfRule>
    <cfRule type="expression" priority="540" dxfId="0">
      <formula>$G$18="⚠️ PARTIEL"</formula>
    </cfRule>
    <cfRule type="expression" priority="538" dxfId="2">
      <formula>$G$18="✅ PASS"</formula>
    </cfRule>
  </conditionalFormatting>
  <conditionalFormatting sqref="K19">
    <cfRule type="expression" priority="577" dxfId="3">
      <formula>$G$19="🚫 N/A"</formula>
    </cfRule>
    <cfRule type="expression" priority="576" dxfId="0">
      <formula>$G$19="⚠️ PARTIEL"</formula>
    </cfRule>
    <cfRule type="expression" priority="575" dxfId="1">
      <formula>$G$19="❌ FAIL"</formula>
    </cfRule>
    <cfRule type="expression" priority="574" dxfId="2">
      <formula>$G$19="✅ PASS"</formula>
    </cfRule>
  </conditionalFormatting>
  <conditionalFormatting sqref="K20">
    <cfRule type="expression" priority="613" dxfId="3">
      <formula>$G$20="🚫 N/A"</formula>
    </cfRule>
    <cfRule type="expression" priority="612" dxfId="0">
      <formula>$G$20="⚠️ PARTIEL"</formula>
    </cfRule>
    <cfRule type="expression" priority="611" dxfId="1">
      <formula>$G$20="❌ FAIL"</formula>
    </cfRule>
    <cfRule type="expression" priority="610" dxfId="2">
      <formula>$G$20="✅ PASS"</formula>
    </cfRule>
  </conditionalFormatting>
  <conditionalFormatting sqref="K21">
    <cfRule type="expression" priority="646" dxfId="2">
      <formula>$G$21="✅ PASS"</formula>
    </cfRule>
    <cfRule type="expression" priority="647" dxfId="1">
      <formula>$G$21="❌ FAIL"</formula>
    </cfRule>
    <cfRule type="expression" priority="648" dxfId="0">
      <formula>$G$21="⚠️ PARTIEL"</formula>
    </cfRule>
    <cfRule type="expression" priority="649" dxfId="3">
      <formula>$G$21="🚫 N/A"</formula>
    </cfRule>
  </conditionalFormatting>
  <conditionalFormatting sqref="K22">
    <cfRule type="expression" priority="683" dxfId="1">
      <formula>$G$22="❌ FAIL"</formula>
    </cfRule>
    <cfRule type="expression" priority="682" dxfId="2">
      <formula>$G$22="✅ PASS"</formula>
    </cfRule>
    <cfRule type="expression" priority="684" dxfId="0">
      <formula>$G$22="⚠️ PARTIEL"</formula>
    </cfRule>
    <cfRule type="expression" priority="685" dxfId="3">
      <formula>$G$22="🚫 N/A"</formula>
    </cfRule>
  </conditionalFormatting>
  <conditionalFormatting sqref="K23">
    <cfRule type="expression" priority="721" dxfId="3">
      <formula>$G$23="🚫 N/A"</formula>
    </cfRule>
    <cfRule type="expression" priority="720" dxfId="0">
      <formula>$G$23="⚠️ PARTIEL"</formula>
    </cfRule>
    <cfRule type="expression" priority="719" dxfId="1">
      <formula>$G$23="❌ FAIL"</formula>
    </cfRule>
    <cfRule type="expression" priority="718" dxfId="2">
      <formula>$G$23="✅ PASS"</formula>
    </cfRule>
  </conditionalFormatting>
  <conditionalFormatting sqref="K24">
    <cfRule type="expression" priority="755" dxfId="1">
      <formula>$G$24="❌ FAIL"</formula>
    </cfRule>
    <cfRule type="expression" priority="756" dxfId="0">
      <formula>$G$24="⚠️ PARTIEL"</formula>
    </cfRule>
    <cfRule type="expression" priority="757" dxfId="3">
      <formula>$G$24="🚫 N/A"</formula>
    </cfRule>
    <cfRule type="expression" priority="754" dxfId="2">
      <formula>$G$24="✅ PASS"</formula>
    </cfRule>
  </conditionalFormatting>
  <conditionalFormatting sqref="K25">
    <cfRule type="expression" priority="793" dxfId="3">
      <formula>$G$25="🚫 N/A"</formula>
    </cfRule>
    <cfRule type="expression" priority="792" dxfId="0">
      <formula>$G$25="⚠️ PARTIEL"</formula>
    </cfRule>
    <cfRule type="expression" priority="791" dxfId="1">
      <formula>$G$25="❌ FAIL"</formula>
    </cfRule>
    <cfRule type="expression" priority="790" dxfId="2">
      <formula>$G$25="✅ PASS"</formula>
    </cfRule>
  </conditionalFormatting>
  <conditionalFormatting sqref="K26">
    <cfRule type="expression" priority="827" dxfId="1">
      <formula>$G$26="❌ FAIL"</formula>
    </cfRule>
    <cfRule type="expression" priority="828" dxfId="0">
      <formula>$G$26="⚠️ PARTIEL"</formula>
    </cfRule>
    <cfRule type="expression" priority="829" dxfId="3">
      <formula>$G$26="🚫 N/A"</formula>
    </cfRule>
    <cfRule type="expression" priority="826" dxfId="2">
      <formula>$G$26="✅ PASS"</formula>
    </cfRule>
  </conditionalFormatting>
  <conditionalFormatting sqref="K27">
    <cfRule type="expression" priority="863" dxfId="1">
      <formula>$G$27="❌ FAIL"</formula>
    </cfRule>
    <cfRule type="expression" priority="865" dxfId="3">
      <formula>$G$27="🚫 N/A"</formula>
    </cfRule>
    <cfRule type="expression" priority="864" dxfId="0">
      <formula>$G$27="⚠️ PARTIEL"</formula>
    </cfRule>
    <cfRule type="expression" priority="862" dxfId="2">
      <formula>$G$27="✅ PASS"</formula>
    </cfRule>
  </conditionalFormatting>
  <conditionalFormatting sqref="K28">
    <cfRule type="expression" priority="898" dxfId="2">
      <formula>$G$28="✅ PASS"</formula>
    </cfRule>
    <cfRule type="expression" priority="900" dxfId="0">
      <formula>$G$28="⚠️ PARTIEL"</formula>
    </cfRule>
    <cfRule type="expression" priority="901" dxfId="3">
      <formula>$G$28="🚫 N/A"</formula>
    </cfRule>
    <cfRule type="expression" priority="899" dxfId="1">
      <formula>$G$28="❌ FAIL"</formula>
    </cfRule>
  </conditionalFormatting>
  <conditionalFormatting sqref="K29">
    <cfRule type="expression" priority="937" dxfId="3">
      <formula>$G$29="🚫 N/A"</formula>
    </cfRule>
    <cfRule type="expression" priority="936" dxfId="0">
      <formula>$G$29="⚠️ PARTIEL"</formula>
    </cfRule>
    <cfRule type="expression" priority="935" dxfId="1">
      <formula>$G$29="❌ FAIL"</formula>
    </cfRule>
    <cfRule type="expression" priority="934" dxfId="2">
      <formula>$G$29="✅ PASS"</formula>
    </cfRule>
  </conditionalFormatting>
  <conditionalFormatting sqref="K30">
    <cfRule type="expression" priority="970" dxfId="2">
      <formula>$G$30="✅ PASS"</formula>
    </cfRule>
    <cfRule type="expression" priority="973" dxfId="3">
      <formula>$G$30="🚫 N/A"</formula>
    </cfRule>
    <cfRule type="expression" priority="972" dxfId="0">
      <formula>$G$30="⚠️ PARTIEL"</formula>
    </cfRule>
    <cfRule type="expression" priority="971" dxfId="1">
      <formula>$G$30="❌ FAIL"</formula>
    </cfRule>
  </conditionalFormatting>
  <conditionalFormatting sqref="K31">
    <cfRule type="expression" priority="1009" dxfId="3">
      <formula>$G$31="🚫 N/A"</formula>
    </cfRule>
    <cfRule type="expression" priority="1008" dxfId="0">
      <formula>$G$31="⚠️ PARTIEL"</formula>
    </cfRule>
    <cfRule type="expression" priority="1007" dxfId="1">
      <formula>$G$31="❌ FAIL"</formula>
    </cfRule>
    <cfRule type="expression" priority="1006" dxfId="2">
      <formula>$G$31="✅ PASS"</formula>
    </cfRule>
  </conditionalFormatting>
  <conditionalFormatting sqref="K32">
    <cfRule type="expression" priority="1042" dxfId="2">
      <formula>$G$32="✅ PASS"</formula>
    </cfRule>
    <cfRule type="expression" priority="1043" dxfId="1">
      <formula>$G$32="❌ FAIL"</formula>
    </cfRule>
    <cfRule type="expression" priority="1044" dxfId="0">
      <formula>$G$32="⚠️ PARTIEL"</formula>
    </cfRule>
    <cfRule type="expression" priority="1045" dxfId="3">
      <formula>$G$32="🚫 N/A"</formula>
    </cfRule>
  </conditionalFormatting>
  <conditionalFormatting sqref="K33">
    <cfRule type="expression" priority="1080" dxfId="0">
      <formula>$G$33="⚠️ PARTIEL"</formula>
    </cfRule>
    <cfRule type="expression" priority="1078" dxfId="2">
      <formula>$G$33="✅ PASS"</formula>
    </cfRule>
    <cfRule type="expression" priority="1081" dxfId="3">
      <formula>$G$33="🚫 N/A"</formula>
    </cfRule>
    <cfRule type="expression" priority="1079" dxfId="1">
      <formula>$G$33="❌ FAIL"</formula>
    </cfRule>
  </conditionalFormatting>
  <conditionalFormatting sqref="K34">
    <cfRule type="expression" priority="1116" dxfId="0">
      <formula>$G$34="⚠️ PARTIEL"</formula>
    </cfRule>
    <cfRule type="expression" priority="1117" dxfId="3">
      <formula>$G$34="🚫 N/A"</formula>
    </cfRule>
    <cfRule type="expression" priority="1115" dxfId="1">
      <formula>$G$34="❌ FAIL"</formula>
    </cfRule>
    <cfRule type="expression" priority="1114" dxfId="2">
      <formula>$G$34="✅ PASS"</formula>
    </cfRule>
  </conditionalFormatting>
  <conditionalFormatting sqref="K35">
    <cfRule type="expression" priority="1150" dxfId="2">
      <formula>$G$35="✅ PASS"</formula>
    </cfRule>
    <cfRule type="expression" priority="1151" dxfId="1">
      <formula>$G$35="❌ FAIL"</formula>
    </cfRule>
    <cfRule type="expression" priority="1152" dxfId="0">
      <formula>$G$35="⚠️ PARTIEL"</formula>
    </cfRule>
    <cfRule type="expression" priority="1153" dxfId="3">
      <formula>$G$35="🚫 N/A"</formula>
    </cfRule>
  </conditionalFormatting>
  <conditionalFormatting sqref="K36">
    <cfRule type="expression" priority="1186" dxfId="2">
      <formula>$G$36="✅ PASS"</formula>
    </cfRule>
    <cfRule type="expression" priority="1187" dxfId="1">
      <formula>$G$36="❌ FAIL"</formula>
    </cfRule>
    <cfRule type="expression" priority="1188" dxfId="0">
      <formula>$G$36="⚠️ PARTIEL"</formula>
    </cfRule>
    <cfRule type="expression" priority="1189" dxfId="3">
      <formula>$G$36="🚫 N/A"</formula>
    </cfRule>
  </conditionalFormatting>
  <conditionalFormatting sqref="K37">
    <cfRule type="expression" priority="1223" dxfId="1">
      <formula>$G$37="❌ FAIL"</formula>
    </cfRule>
    <cfRule type="expression" priority="1224" dxfId="0">
      <formula>$G$37="⚠️ PARTIEL"</formula>
    </cfRule>
    <cfRule type="expression" priority="1225" dxfId="3">
      <formula>$G$37="🚫 N/A"</formula>
    </cfRule>
    <cfRule type="expression" priority="1222" dxfId="2">
      <formula>$G$37="✅ PASS"</formula>
    </cfRule>
  </conditionalFormatting>
  <conditionalFormatting sqref="K38">
    <cfRule type="expression" priority="1258" dxfId="2">
      <formula>$G$38="✅ PASS"</formula>
    </cfRule>
    <cfRule type="expression" priority="1259" dxfId="1">
      <formula>$G$38="❌ FAIL"</formula>
    </cfRule>
    <cfRule type="expression" priority="1260" dxfId="0">
      <formula>$G$38="⚠️ PARTIEL"</formula>
    </cfRule>
    <cfRule type="expression" priority="1261" dxfId="3">
      <formula>$G$38="🚫 N/A"</formula>
    </cfRule>
  </conditionalFormatting>
  <conditionalFormatting sqref="K39">
    <cfRule type="expression" priority="1294" dxfId="2">
      <formula>$G$39="✅ PASS"</formula>
    </cfRule>
    <cfRule type="expression" priority="1295" dxfId="1">
      <formula>$G$39="❌ FAIL"</formula>
    </cfRule>
    <cfRule type="expression" priority="1296" dxfId="0">
      <formula>$G$39="⚠️ PARTIEL"</formula>
    </cfRule>
    <cfRule type="expression" priority="1297" dxfId="3">
      <formula>$G$39="🚫 N/A"</formula>
    </cfRule>
  </conditionalFormatting>
  <conditionalFormatting sqref="K40">
    <cfRule type="expression" priority="1331" dxfId="1">
      <formula>$G$40="❌ FAIL"</formula>
    </cfRule>
    <cfRule type="expression" priority="1330" dxfId="2">
      <formula>$G$40="✅ PASS"</formula>
    </cfRule>
    <cfRule type="expression" priority="1332" dxfId="0">
      <formula>$G$40="⚠️ PARTIEL"</formula>
    </cfRule>
    <cfRule type="expression" priority="1333" dxfId="3">
      <formula>$G$40="🚫 N/A"</formula>
    </cfRule>
  </conditionalFormatting>
  <conditionalFormatting sqref="K41">
    <cfRule type="expression" priority="1366" dxfId="2">
      <formula>$G$41="✅ PASS"</formula>
    </cfRule>
    <cfRule type="expression" priority="1367" dxfId="1">
      <formula>$G$41="❌ FAIL"</formula>
    </cfRule>
    <cfRule type="expression" priority="1368" dxfId="0">
      <formula>$G$41="⚠️ PARTIEL"</formula>
    </cfRule>
    <cfRule type="expression" priority="1369" dxfId="3">
      <formula>$G$41="🚫 N/A"</formula>
    </cfRule>
  </conditionalFormatting>
  <conditionalFormatting sqref="K42">
    <cfRule type="expression" priority="1402" dxfId="2">
      <formula>$G$42="✅ PASS"</formula>
    </cfRule>
    <cfRule type="expression" priority="1405" dxfId="3">
      <formula>$G$42="🚫 N/A"</formula>
    </cfRule>
    <cfRule type="expression" priority="1403" dxfId="1">
      <formula>$G$42="❌ FAIL"</formula>
    </cfRule>
    <cfRule type="expression" priority="1404" dxfId="0">
      <formula>$G$42="⚠️ PARTIEL"</formula>
    </cfRule>
  </conditionalFormatting>
  <conditionalFormatting sqref="K43">
    <cfRule type="expression" priority="1441" dxfId="3">
      <formula>$G$43="🚫 N/A"</formula>
    </cfRule>
    <cfRule type="expression" priority="1438" dxfId="2">
      <formula>$G$43="✅ PASS"</formula>
    </cfRule>
    <cfRule type="expression" priority="1439" dxfId="1">
      <formula>$G$43="❌ FAIL"</formula>
    </cfRule>
    <cfRule type="expression" priority="1440" dxfId="0">
      <formula>$G$43="⚠️ PARTIEL"</formula>
    </cfRule>
  </conditionalFormatting>
  <conditionalFormatting sqref="K44">
    <cfRule type="expression" priority="1476" dxfId="0">
      <formula>$G$44="⚠️ PARTIEL"</formula>
    </cfRule>
    <cfRule type="expression" priority="1474" dxfId="2">
      <formula>$G$44="✅ PASS"</formula>
    </cfRule>
    <cfRule type="expression" priority="1475" dxfId="1">
      <formula>$G$44="❌ FAIL"</formula>
    </cfRule>
    <cfRule type="expression" priority="1477" dxfId="3">
      <formula>$G$44="🚫 N/A"</formula>
    </cfRule>
  </conditionalFormatting>
  <conditionalFormatting sqref="K45">
    <cfRule type="expression" priority="1512" dxfId="0">
      <formula>$G$45="⚠️ PARTIEL"</formula>
    </cfRule>
    <cfRule type="expression" priority="1513" dxfId="3">
      <formula>$G$45="🚫 N/A"</formula>
    </cfRule>
    <cfRule type="expression" priority="1511" dxfId="1">
      <formula>$G$45="❌ FAIL"</formula>
    </cfRule>
    <cfRule type="expression" priority="1510" dxfId="2">
      <formula>$G$45="✅ PASS"</formula>
    </cfRule>
  </conditionalFormatting>
  <conditionalFormatting sqref="K46">
    <cfRule type="expression" priority="1546" dxfId="2">
      <formula>$G$46="✅ PASS"</formula>
    </cfRule>
    <cfRule type="expression" priority="1547" dxfId="1">
      <formula>$G$46="❌ FAIL"</formula>
    </cfRule>
    <cfRule type="expression" priority="1548" dxfId="0">
      <formula>$G$46="⚠️ PARTIEL"</formula>
    </cfRule>
    <cfRule type="expression" priority="1549" dxfId="3">
      <formula>$G$46="🚫 N/A"</formula>
    </cfRule>
  </conditionalFormatting>
  <conditionalFormatting sqref="K47">
    <cfRule type="expression" priority="1585" dxfId="3">
      <formula>$G$47="🚫 N/A"</formula>
    </cfRule>
    <cfRule type="expression" priority="1584" dxfId="0">
      <formula>$G$47="⚠️ PARTIEL"</formula>
    </cfRule>
    <cfRule type="expression" priority="1582" dxfId="2">
      <formula>$G$47="✅ PASS"</formula>
    </cfRule>
    <cfRule type="expression" priority="1583" dxfId="1">
      <formula>$G$47="❌ FAIL"</formula>
    </cfRule>
  </conditionalFormatting>
  <conditionalFormatting sqref="K48">
    <cfRule type="expression" priority="1618" dxfId="2">
      <formula>$G$48="✅ PASS"</formula>
    </cfRule>
    <cfRule type="expression" priority="1619" dxfId="1">
      <formula>$G$48="❌ FAIL"</formula>
    </cfRule>
    <cfRule type="expression" priority="1620" dxfId="0">
      <formula>$G$48="⚠️ PARTIEL"</formula>
    </cfRule>
    <cfRule type="expression" priority="1621" dxfId="3">
      <formula>$G$48="🚫 N/A"</formula>
    </cfRule>
  </conditionalFormatting>
  <conditionalFormatting sqref="K49">
    <cfRule type="expression" priority="1656" dxfId="0">
      <formula>$G$49="⚠️ PARTIEL"</formula>
    </cfRule>
    <cfRule type="expression" priority="1654" dxfId="2">
      <formula>$G$49="✅ PASS"</formula>
    </cfRule>
    <cfRule type="expression" priority="1655" dxfId="1">
      <formula>$G$49="❌ FAIL"</formula>
    </cfRule>
    <cfRule type="expression" priority="1657" dxfId="3">
      <formula>$G$49="🚫 N/A"</formula>
    </cfRule>
  </conditionalFormatting>
  <conditionalFormatting sqref="K50">
    <cfRule type="expression" priority="1692" dxfId="0">
      <formula>$G$50="⚠️ PARTIEL"</formula>
    </cfRule>
    <cfRule type="expression" priority="1691" dxfId="1">
      <formula>$G$50="❌ FAIL"</formula>
    </cfRule>
    <cfRule type="expression" priority="1693" dxfId="3">
      <formula>$G$50="🚫 N/A"</formula>
    </cfRule>
    <cfRule type="expression" priority="1690" dxfId="2">
      <formula>$G$50="✅ PASS"</formula>
    </cfRule>
  </conditionalFormatting>
  <conditionalFormatting sqref="K51">
    <cfRule type="expression" priority="1727" dxfId="1">
      <formula>$G$51="❌ FAIL"</formula>
    </cfRule>
    <cfRule type="expression" priority="1726" dxfId="2">
      <formula>$G$51="✅ PASS"</formula>
    </cfRule>
    <cfRule type="expression" priority="1728" dxfId="0">
      <formula>$G$51="⚠️ PARTIEL"</formula>
    </cfRule>
    <cfRule type="expression" priority="1729" dxfId="3">
      <formula>$G$51="🚫 N/A"</formula>
    </cfRule>
  </conditionalFormatting>
  <conditionalFormatting sqref="K52">
    <cfRule type="expression" priority="1762" dxfId="2">
      <formula>$G$52="✅ PASS"</formula>
    </cfRule>
    <cfRule type="expression" priority="1765" dxfId="3">
      <formula>$G$52="🚫 N/A"</formula>
    </cfRule>
    <cfRule type="expression" priority="1763" dxfId="1">
      <formula>$G$52="❌ FAIL"</formula>
    </cfRule>
    <cfRule type="expression" priority="1764" dxfId="0">
      <formula>$G$52="⚠️ PARTIEL"</formula>
    </cfRule>
  </conditionalFormatting>
  <conditionalFormatting sqref="K53">
    <cfRule type="expression" priority="1801" dxfId="3">
      <formula>$G$53="🚫 N/A"</formula>
    </cfRule>
    <cfRule type="expression" priority="1800" dxfId="0">
      <formula>$G$53="⚠️ PARTIEL"</formula>
    </cfRule>
    <cfRule type="expression" priority="1799" dxfId="1">
      <formula>$G$53="❌ FAIL"</formula>
    </cfRule>
    <cfRule type="expression" priority="1798" dxfId="2">
      <formula>$G$53="✅ PASS"</formula>
    </cfRule>
  </conditionalFormatting>
  <conditionalFormatting sqref="K54">
    <cfRule type="expression" priority="1834" dxfId="2">
      <formula>$G$54="✅ PASS"</formula>
    </cfRule>
    <cfRule type="expression" priority="1835" dxfId="1">
      <formula>$G$54="❌ FAIL"</formula>
    </cfRule>
    <cfRule type="expression" priority="1837" dxfId="3">
      <formula>$G$54="🚫 N/A"</formula>
    </cfRule>
    <cfRule type="expression" priority="1836" dxfId="0">
      <formula>$G$54="⚠️ PARTIEL"</formula>
    </cfRule>
  </conditionalFormatting>
  <conditionalFormatting sqref="K55">
    <cfRule type="expression" priority="1872" dxfId="0">
      <formula>$G$55="⚠️ PARTIEL"</formula>
    </cfRule>
    <cfRule type="expression" priority="1871" dxfId="1">
      <formula>$G$55="❌ FAIL"</formula>
    </cfRule>
    <cfRule type="expression" priority="1870" dxfId="2">
      <formula>$G$55="✅ PASS"</formula>
    </cfRule>
    <cfRule type="expression" priority="1873" dxfId="3">
      <formula>$G$55="🚫 N/A"</formula>
    </cfRule>
  </conditionalFormatting>
  <conditionalFormatting sqref="K56">
    <cfRule type="expression" priority="1908" dxfId="0">
      <formula>$G$56="⚠️ PARTIEL"</formula>
    </cfRule>
    <cfRule type="expression" priority="1907" dxfId="1">
      <formula>$G$56="❌ FAIL"</formula>
    </cfRule>
    <cfRule type="expression" priority="1909" dxfId="3">
      <formula>$G$56="🚫 N/A"</formula>
    </cfRule>
    <cfRule type="expression" priority="1906" dxfId="2">
      <formula>$G$56="✅ PASS"</formula>
    </cfRule>
  </conditionalFormatting>
  <conditionalFormatting sqref="K57">
    <cfRule type="expression" priority="1945" dxfId="3">
      <formula>$G$57="🚫 N/A"</formula>
    </cfRule>
    <cfRule type="expression" priority="1942" dxfId="2">
      <formula>$G$57="✅ PASS"</formula>
    </cfRule>
    <cfRule type="expression" priority="1943" dxfId="1">
      <formula>$G$57="❌ FAIL"</formula>
    </cfRule>
    <cfRule type="expression" priority="1944" dxfId="0">
      <formula>$G$57="⚠️ PARTIEL"</formula>
    </cfRule>
  </conditionalFormatting>
  <conditionalFormatting sqref="K58">
    <cfRule type="expression" priority="1980" dxfId="0">
      <formula>$G$58="⚠️ PARTIEL"</formula>
    </cfRule>
    <cfRule type="expression" priority="1979" dxfId="1">
      <formula>$G$58="❌ FAIL"</formula>
    </cfRule>
    <cfRule type="expression" priority="1981" dxfId="3">
      <formula>$G$58="🚫 N/A"</formula>
    </cfRule>
    <cfRule type="expression" priority="1978" dxfId="2">
      <formula>$G$58="✅ PASS"</formula>
    </cfRule>
  </conditionalFormatting>
  <conditionalFormatting sqref="K59">
    <cfRule type="expression" priority="2017" dxfId="3">
      <formula>$G$59="🚫 N/A"</formula>
    </cfRule>
    <cfRule type="expression" priority="2014" dxfId="2">
      <formula>$G$59="✅ PASS"</formula>
    </cfRule>
    <cfRule type="expression" priority="2015" dxfId="1">
      <formula>$G$59="❌ FAIL"</formula>
    </cfRule>
    <cfRule type="expression" priority="2016" dxfId="0">
      <formula>$G$59="⚠️ PARTIEL"</formula>
    </cfRule>
  </conditionalFormatting>
  <conditionalFormatting sqref="K60">
    <cfRule type="expression" priority="2050" dxfId="2">
      <formula>$G$60="✅ PASS"</formula>
    </cfRule>
    <cfRule type="expression" priority="2051" dxfId="1">
      <formula>$G$60="❌ FAIL"</formula>
    </cfRule>
    <cfRule type="expression" priority="2052" dxfId="0">
      <formula>$G$60="⚠️ PARTIEL"</formula>
    </cfRule>
    <cfRule type="expression" priority="2053" dxfId="3">
      <formula>$G$60="🚫 N/A"</formula>
    </cfRule>
  </conditionalFormatting>
  <conditionalFormatting sqref="K61">
    <cfRule type="expression" priority="2089" dxfId="3">
      <formula>$G$61="🚫 N/A"</formula>
    </cfRule>
    <cfRule type="expression" priority="2088" dxfId="0">
      <formula>$G$61="⚠️ PARTIEL"</formula>
    </cfRule>
    <cfRule type="expression" priority="2087" dxfId="1">
      <formula>$G$61="❌ FAIL"</formula>
    </cfRule>
    <cfRule type="expression" priority="2086" dxfId="2">
      <formula>$G$61="✅ PASS"</formula>
    </cfRule>
  </conditionalFormatting>
  <conditionalFormatting sqref="K62">
    <cfRule type="expression" priority="2125" dxfId="3">
      <formula>$G$62="🚫 N/A"</formula>
    </cfRule>
    <cfRule type="expression" priority="2124" dxfId="0">
      <formula>$G$62="⚠️ PARTIEL"</formula>
    </cfRule>
    <cfRule type="expression" priority="2123" dxfId="1">
      <formula>$G$62="❌ FAIL"</formula>
    </cfRule>
    <cfRule type="expression" priority="2122" dxfId="2">
      <formula>$G$62="✅ PASS"</formula>
    </cfRule>
  </conditionalFormatting>
  <conditionalFormatting sqref="K63">
    <cfRule type="expression" priority="2161" dxfId="3">
      <formula>$G$63="🚫 N/A"</formula>
    </cfRule>
    <cfRule type="expression" priority="2160" dxfId="0">
      <formula>$G$63="⚠️ PARTIEL"</formula>
    </cfRule>
    <cfRule type="expression" priority="2158" dxfId="2">
      <formula>$G$63="✅ PASS"</formula>
    </cfRule>
    <cfRule type="expression" priority="2159" dxfId="1">
      <formula>$G$63="❌ FAIL"</formula>
    </cfRule>
  </conditionalFormatting>
  <conditionalFormatting sqref="K64">
    <cfRule type="expression" priority="2196" dxfId="0">
      <formula>$G$64="⚠️ PARTIEL"</formula>
    </cfRule>
    <cfRule type="expression" priority="2195" dxfId="1">
      <formula>$G$64="❌ FAIL"</formula>
    </cfRule>
    <cfRule type="expression" priority="2194" dxfId="2">
      <formula>$G$64="✅ PASS"</formula>
    </cfRule>
    <cfRule type="expression" priority="2197" dxfId="3">
      <formula>$G$64="🚫 N/A"</formula>
    </cfRule>
  </conditionalFormatting>
  <conditionalFormatting sqref="K65">
    <cfRule type="expression" priority="2230" dxfId="2">
      <formula>$G$65="✅ PASS"</formula>
    </cfRule>
    <cfRule type="expression" priority="2233" dxfId="3">
      <formula>$G$65="🚫 N/A"</formula>
    </cfRule>
    <cfRule type="expression" priority="2232" dxfId="0">
      <formula>$G$65="⚠️ PARTIEL"</formula>
    </cfRule>
    <cfRule type="expression" priority="2231" dxfId="1">
      <formula>$G$65="❌ FAIL"</formula>
    </cfRule>
  </conditionalFormatting>
  <conditionalFormatting sqref="K66">
    <cfRule type="expression" priority="2266" dxfId="2">
      <formula>$G$66="✅ PASS"</formula>
    </cfRule>
    <cfRule type="expression" priority="2268" dxfId="0">
      <formula>$G$66="⚠️ PARTIEL"</formula>
    </cfRule>
    <cfRule type="expression" priority="2269" dxfId="3">
      <formula>$G$66="🚫 N/A"</formula>
    </cfRule>
    <cfRule type="expression" priority="2267" dxfId="1">
      <formula>$G$66="❌ FAIL"</formula>
    </cfRule>
  </conditionalFormatting>
  <conditionalFormatting sqref="K67">
    <cfRule type="expression" priority="2302" dxfId="2">
      <formula>$G$67="✅ PASS"</formula>
    </cfRule>
    <cfRule type="expression" priority="2304" dxfId="0">
      <formula>$G$67="⚠️ PARTIEL"</formula>
    </cfRule>
    <cfRule type="expression" priority="2303" dxfId="1">
      <formula>$G$67="❌ FAIL"</formula>
    </cfRule>
    <cfRule type="expression" priority="2305" dxfId="3">
      <formula>$G$67="🚫 N/A"</formula>
    </cfRule>
  </conditionalFormatting>
  <conditionalFormatting sqref="K68">
    <cfRule type="expression" priority="2338" dxfId="2">
      <formula>$G$68="✅ PASS"</formula>
    </cfRule>
    <cfRule type="expression" priority="2339" dxfId="1">
      <formula>$G$68="❌ FAIL"</formula>
    </cfRule>
    <cfRule type="expression" priority="2340" dxfId="0">
      <formula>$G$68="⚠️ PARTIEL"</formula>
    </cfRule>
    <cfRule type="expression" priority="2341" dxfId="3">
      <formula>$G$68="🚫 N/A"</formula>
    </cfRule>
  </conditionalFormatting>
  <conditionalFormatting sqref="K69">
    <cfRule type="expression" priority="2377" dxfId="3">
      <formula>$G$69="🚫 N/A"</formula>
    </cfRule>
    <cfRule type="expression" priority="2376" dxfId="0">
      <formula>$G$69="⚠️ PARTIEL"</formula>
    </cfRule>
    <cfRule type="expression" priority="2375" dxfId="1">
      <formula>$G$69="❌ FAIL"</formula>
    </cfRule>
    <cfRule type="expression" priority="2374" dxfId="2">
      <formula>$G$69="✅ PASS"</formula>
    </cfRule>
  </conditionalFormatting>
  <conditionalFormatting sqref="K70">
    <cfRule type="expression" priority="2411" dxfId="1">
      <formula>$G$70="❌ FAIL"</formula>
    </cfRule>
    <cfRule type="expression" priority="2413" dxfId="3">
      <formula>$G$70="🚫 N/A"</formula>
    </cfRule>
    <cfRule type="expression" priority="2412" dxfId="0">
      <formula>$G$70="⚠️ PARTIEL"</formula>
    </cfRule>
    <cfRule type="expression" priority="2410" dxfId="2">
      <formula>$G$70="✅ PASS"</formula>
    </cfRule>
  </conditionalFormatting>
  <conditionalFormatting sqref="K71">
    <cfRule type="expression" priority="2449" dxfId="3">
      <formula>$G$71="🚫 N/A"</formula>
    </cfRule>
    <cfRule type="expression" priority="2446" dxfId="2">
      <formula>$G$71="✅ PASS"</formula>
    </cfRule>
    <cfRule type="expression" priority="2448" dxfId="0">
      <formula>$G$71="⚠️ PARTIEL"</formula>
    </cfRule>
    <cfRule type="expression" priority="2447" dxfId="1">
      <formula>$G$71="❌ FAIL"</formula>
    </cfRule>
  </conditionalFormatting>
  <conditionalFormatting sqref="K72">
    <cfRule type="expression" priority="2485" dxfId="3">
      <formula>$G$72="🚫 N/A"</formula>
    </cfRule>
    <cfRule type="expression" priority="2484" dxfId="0">
      <formula>$G$72="⚠️ PARTIEL"</formula>
    </cfRule>
    <cfRule type="expression" priority="2483" dxfId="1">
      <formula>$G$72="❌ FAIL"</formula>
    </cfRule>
    <cfRule type="expression" priority="2482" dxfId="2">
      <formula>$G$72="✅ PASS"</formula>
    </cfRule>
  </conditionalFormatting>
  <conditionalFormatting sqref="K73">
    <cfRule type="expression" priority="2518" dxfId="2">
      <formula>$G$73="✅ PASS"</formula>
    </cfRule>
    <cfRule type="expression" priority="2520" dxfId="0">
      <formula>$G$73="⚠️ PARTIEL"</formula>
    </cfRule>
    <cfRule type="expression" priority="2521" dxfId="3">
      <formula>$G$73="🚫 N/A"</formula>
    </cfRule>
    <cfRule type="expression" priority="2519" dxfId="1">
      <formula>$G$73="❌ FAIL"</formula>
    </cfRule>
  </conditionalFormatting>
  <conditionalFormatting sqref="K74">
    <cfRule type="expression" priority="2554" dxfId="2">
      <formula>$G$74="✅ PASS"</formula>
    </cfRule>
    <cfRule type="expression" priority="2555" dxfId="1">
      <formula>$G$74="❌ FAIL"</formula>
    </cfRule>
    <cfRule type="expression" priority="2556" dxfId="0">
      <formula>$G$74="⚠️ PARTIEL"</formula>
    </cfRule>
    <cfRule type="expression" priority="2557" dxfId="3">
      <formula>$G$74="🚫 N/A"</formula>
    </cfRule>
  </conditionalFormatting>
  <conditionalFormatting sqref="K75">
    <cfRule type="expression" priority="2590" dxfId="2">
      <formula>$G$75="✅ PASS"</formula>
    </cfRule>
    <cfRule type="expression" priority="2591" dxfId="1">
      <formula>$G$75="❌ FAIL"</formula>
    </cfRule>
    <cfRule type="expression" priority="2592" dxfId="0">
      <formula>$G$75="⚠️ PARTIEL"</formula>
    </cfRule>
    <cfRule type="expression" priority="2593" dxfId="3">
      <formula>$G$75="🚫 N/A"</formula>
    </cfRule>
  </conditionalFormatting>
  <conditionalFormatting sqref="K76">
    <cfRule type="expression" priority="2626" dxfId="2">
      <formula>$G$76="✅ PASS"</formula>
    </cfRule>
    <cfRule type="expression" priority="2627" dxfId="1">
      <formula>$G$76="❌ FAIL"</formula>
    </cfRule>
    <cfRule type="expression" priority="2628" dxfId="0">
      <formula>$G$76="⚠️ PARTIEL"</formula>
    </cfRule>
    <cfRule type="expression" priority="2629" dxfId="3">
      <formula>$G$76="🚫 N/A"</formula>
    </cfRule>
  </conditionalFormatting>
  <conditionalFormatting sqref="K77">
    <cfRule type="expression" priority="2662" dxfId="2">
      <formula>$G$77="✅ PASS"</formula>
    </cfRule>
    <cfRule type="expression" priority="2663" dxfId="1">
      <formula>$G$77="❌ FAIL"</formula>
    </cfRule>
    <cfRule type="expression" priority="2664" dxfId="0">
      <formula>$G$77="⚠️ PARTIEL"</formula>
    </cfRule>
    <cfRule type="expression" priority="2665" dxfId="3">
      <formula>$G$77="🚫 N/A"</formula>
    </cfRule>
  </conditionalFormatting>
  <conditionalFormatting sqref="K78">
    <cfRule type="expression" priority="2699" dxfId="1">
      <formula>$G$78="❌ FAIL"</formula>
    </cfRule>
    <cfRule type="expression" priority="2701" dxfId="3">
      <formula>$G$78="🚫 N/A"</formula>
    </cfRule>
    <cfRule type="expression" priority="2700" dxfId="0">
      <formula>$G$78="⚠️ PARTIEL"</formula>
    </cfRule>
    <cfRule type="expression" priority="2698" dxfId="2">
      <formula>$G$78="✅ PASS"</formula>
    </cfRule>
  </conditionalFormatting>
  <conditionalFormatting sqref="K79">
    <cfRule type="expression" priority="2734" dxfId="2">
      <formula>$G$79="✅ PASS"</formula>
    </cfRule>
    <cfRule type="expression" priority="2737" dxfId="3">
      <formula>$G$79="🚫 N/A"</formula>
    </cfRule>
    <cfRule type="expression" priority="2735" dxfId="1">
      <formula>$G$79="❌ FAIL"</formula>
    </cfRule>
    <cfRule type="expression" priority="2736" dxfId="0">
      <formula>$G$79="⚠️ PARTIEL"</formula>
    </cfRule>
  </conditionalFormatting>
  <conditionalFormatting sqref="K80">
    <cfRule type="expression" priority="2770" dxfId="2">
      <formula>$G$80="✅ PASS"</formula>
    </cfRule>
    <cfRule type="expression" priority="2771" dxfId="1">
      <formula>$G$80="❌ FAIL"</formula>
    </cfRule>
    <cfRule type="expression" priority="2772" dxfId="0">
      <formula>$G$80="⚠️ PARTIEL"</formula>
    </cfRule>
    <cfRule type="expression" priority="2773" dxfId="3">
      <formula>$G$80="🚫 N/A"</formula>
    </cfRule>
  </conditionalFormatting>
  <conditionalFormatting sqref="K81">
    <cfRule type="expression" priority="2806" dxfId="2">
      <formula>$G$81="✅ PASS"</formula>
    </cfRule>
    <cfRule type="expression" priority="2807" dxfId="1">
      <formula>$G$81="❌ FAIL"</formula>
    </cfRule>
    <cfRule type="expression" priority="2809" dxfId="3">
      <formula>$G$81="🚫 N/A"</formula>
    </cfRule>
    <cfRule type="expression" priority="2808" dxfId="0">
      <formula>$G$81="⚠️ PARTIEL"</formula>
    </cfRule>
  </conditionalFormatting>
  <conditionalFormatting sqref="K82">
    <cfRule type="expression" priority="2842" dxfId="2">
      <formula>$G$82="✅ PASS"</formula>
    </cfRule>
    <cfRule type="expression" priority="2843" dxfId="1">
      <formula>$G$82="❌ FAIL"</formula>
    </cfRule>
    <cfRule type="expression" priority="2844" dxfId="0">
      <formula>$G$82="⚠️ PARTIEL"</formula>
    </cfRule>
    <cfRule type="expression" priority="2845" dxfId="3">
      <formula>$G$82="🚫 N/A"</formula>
    </cfRule>
  </conditionalFormatting>
  <conditionalFormatting sqref="K83">
    <cfRule type="expression" priority="2878" dxfId="2">
      <formula>$G$83="✅ PASS"</formula>
    </cfRule>
    <cfRule type="expression" priority="2879" dxfId="1">
      <formula>$G$83="❌ FAIL"</formula>
    </cfRule>
    <cfRule type="expression" priority="2880" dxfId="0">
      <formula>$G$83="⚠️ PARTIEL"</formula>
    </cfRule>
    <cfRule type="expression" priority="2881" dxfId="3">
      <formula>$G$83="🚫 N/A"</formula>
    </cfRule>
  </conditionalFormatting>
  <conditionalFormatting sqref="K84">
    <cfRule type="expression" priority="2915" dxfId="1">
      <formula>$G$84="❌ FAIL"</formula>
    </cfRule>
    <cfRule type="expression" priority="2914" dxfId="2">
      <formula>$G$84="✅ PASS"</formula>
    </cfRule>
    <cfRule type="expression" priority="2917" dxfId="3">
      <formula>$G$84="🚫 N/A"</formula>
    </cfRule>
    <cfRule type="expression" priority="2916" dxfId="0">
      <formula>$G$84="⚠️ PARTIEL"</formula>
    </cfRule>
  </conditionalFormatting>
  <conditionalFormatting sqref="K85">
    <cfRule type="expression" priority="2953" dxfId="3">
      <formula>$G$85="🚫 N/A"</formula>
    </cfRule>
    <cfRule type="expression" priority="2952" dxfId="0">
      <formula>$G$85="⚠️ PARTIEL"</formula>
    </cfRule>
    <cfRule type="expression" priority="2951" dxfId="1">
      <formula>$G$85="❌ FAIL"</formula>
    </cfRule>
    <cfRule type="expression" priority="2950" dxfId="2">
      <formula>$G$85="✅ PASS"</formula>
    </cfRule>
  </conditionalFormatting>
  <conditionalFormatting sqref="K86">
    <cfRule type="expression" priority="2989" dxfId="3">
      <formula>$G$86="🚫 N/A"</formula>
    </cfRule>
    <cfRule type="expression" priority="2986" dxfId="2">
      <formula>$G$86="✅ PASS"</formula>
    </cfRule>
    <cfRule type="expression" priority="2988" dxfId="0">
      <formula>$G$86="⚠️ PARTIEL"</formula>
    </cfRule>
    <cfRule type="expression" priority="2987" dxfId="1">
      <formula>$G$86="❌ FAIL"</formula>
    </cfRule>
  </conditionalFormatting>
  <conditionalFormatting sqref="K87">
    <cfRule type="expression" priority="3025" dxfId="3">
      <formula>$G$87="🚫 N/A"</formula>
    </cfRule>
    <cfRule type="expression" priority="3022" dxfId="2">
      <formula>$G$87="✅ PASS"</formula>
    </cfRule>
    <cfRule type="expression" priority="3023" dxfId="1">
      <formula>$G$87="❌ FAIL"</formula>
    </cfRule>
    <cfRule type="expression" priority="3024" dxfId="0">
      <formula>$G$87="⚠️ PARTIEL"</formula>
    </cfRule>
  </conditionalFormatting>
  <conditionalFormatting sqref="K88">
    <cfRule type="expression" priority="3058" dxfId="2">
      <formula>$G$88="✅ PASS"</formula>
    </cfRule>
    <cfRule type="expression" priority="3059" dxfId="1">
      <formula>$G$88="❌ FAIL"</formula>
    </cfRule>
    <cfRule type="expression" priority="3060" dxfId="0">
      <formula>$G$88="⚠️ PARTIEL"</formula>
    </cfRule>
    <cfRule type="expression" priority="3061" dxfId="3">
      <formula>$G$88="🚫 N/A"</formula>
    </cfRule>
  </conditionalFormatting>
  <conditionalFormatting sqref="K89">
    <cfRule type="expression" priority="3094" dxfId="2">
      <formula>$G$89="✅ PASS"</formula>
    </cfRule>
    <cfRule type="expression" priority="3095" dxfId="1">
      <formula>$G$89="❌ FAIL"</formula>
    </cfRule>
    <cfRule type="expression" priority="3096" dxfId="0">
      <formula>$G$89="⚠️ PARTIEL"</formula>
    </cfRule>
    <cfRule type="expression" priority="3097" dxfId="3">
      <formula>$G$89="🚫 N/A"</formula>
    </cfRule>
  </conditionalFormatting>
  <conditionalFormatting sqref="K90">
    <cfRule type="expression" priority="3133" dxfId="3">
      <formula>$G$90="🚫 N/A"</formula>
    </cfRule>
    <cfRule type="expression" priority="3130" dxfId="2">
      <formula>$G$90="✅ PASS"</formula>
    </cfRule>
    <cfRule type="expression" priority="3131" dxfId="1">
      <formula>$G$90="❌ FAIL"</formula>
    </cfRule>
    <cfRule type="expression" priority="3132" dxfId="0">
      <formula>$G$90="⚠️ PARTIEL"</formula>
    </cfRule>
  </conditionalFormatting>
  <dataValidations count="2">
    <dataValidation sqref="G4:G500" showDropDown="0" showInputMessage="0" showErrorMessage="1" allowBlank="0" errorTitle="Valeur invalide" error="Choisissez un statut dans la liste déroulante." type="list">
      <formula1>"☐ À tester,✅ PASS,❌ FAIL,⚠️ PARTIEL,🚫 N/A"</formula1>
      <formula2>0</formula2>
    </dataValidation>
    <dataValidation sqref="F4:F500" showDropDown="0" showInputMessage="0" showErrorMessage="0" allowBlank="0" type="list">
      <formula1>"CRITIQUE,HAUTE,NORMALE,BASSE"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B71C1C"/>
    <outlinePr summaryBelow="1" summaryRight="1"/>
    <pageSetUpPr/>
  </sheetPr>
  <dimension ref="A1:I53"/>
  <sheetViews>
    <sheetView showGridLines="0"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H4" sqref="H4"/>
    </sheetView>
  </sheetViews>
  <sheetFormatPr baseColWidth="10" defaultColWidth="8.6640625" defaultRowHeight="14.4"/>
  <cols>
    <col width="6" customWidth="1" min="1" max="1"/>
    <col width="12" customWidth="1" min="2" max="3"/>
    <col width="35" customWidth="1" min="4" max="4"/>
    <col width="45" customWidth="1" min="5" max="5"/>
    <col width="12" customWidth="1" min="6" max="6"/>
    <col width="14" customWidth="1" min="7" max="7"/>
    <col width="20" customWidth="1" min="8" max="8"/>
    <col width="14" customWidth="1" min="9" max="9"/>
  </cols>
  <sheetData>
    <row r="1" ht="31.5" customHeight="1">
      <c r="A1" s="2" t="inlineStr">
        <is>
          <t>CGI 242 — Registre des Bugs &amp; Besoins d'Évolution</t>
        </is>
      </c>
    </row>
    <row r="2" ht="18" customHeight="1">
      <c r="A2" s="3" t="inlineStr">
        <is>
          <t>Consignez ici tous les bugs détectés et besoins d'amélioration identifiés pendant les tests</t>
        </is>
      </c>
    </row>
    <row r="3" ht="24" customHeight="1">
      <c r="A3" s="34" t="inlineStr">
        <is>
          <t>#</t>
        </is>
      </c>
      <c r="B3" s="34" t="inlineStr">
        <is>
          <t>ID Test</t>
        </is>
      </c>
      <c r="C3" s="34" t="inlineStr">
        <is>
          <t>Module</t>
        </is>
      </c>
      <c r="D3" s="34" t="inlineStr">
        <is>
          <t>Description du problème</t>
        </is>
      </c>
      <c r="E3" s="34" t="inlineStr">
        <is>
          <t>Comportement observé / Détail</t>
        </is>
      </c>
      <c r="F3" s="34" t="inlineStr">
        <is>
          <t>Type</t>
        </is>
      </c>
      <c r="G3" s="34" t="inlineStr">
        <is>
          <t>Priorité</t>
        </is>
      </c>
      <c r="H3" s="34" t="inlineStr">
        <is>
          <t>Statut résolution</t>
        </is>
      </c>
      <c r="I3" s="34" t="inlineStr">
        <is>
          <t>Date détection</t>
        </is>
      </c>
    </row>
    <row r="4" ht="36" customHeight="1">
      <c r="A4" s="47">
        <f>IF(B4&lt;&gt;"",1,"")</f>
        <v/>
      </c>
      <c r="B4" s="12" t="n"/>
      <c r="C4" s="12" t="n"/>
      <c r="D4" s="48" t="n"/>
      <c r="E4" s="48" t="n"/>
      <c r="F4" s="49" t="n"/>
      <c r="G4" s="50" t="n"/>
      <c r="H4" s="12" t="n"/>
      <c r="I4" s="12" t="n"/>
    </row>
    <row r="5" ht="36" customHeight="1">
      <c r="A5" s="51">
        <f>IF(B5&lt;&gt;"",2,"")</f>
        <v/>
      </c>
      <c r="B5" s="21" t="n"/>
      <c r="C5" s="21" t="n"/>
      <c r="D5" s="52" t="n"/>
      <c r="E5" s="52" t="n"/>
      <c r="F5" s="49" t="n"/>
      <c r="G5" s="50" t="n"/>
      <c r="H5" s="21" t="n"/>
      <c r="I5" s="21" t="n"/>
    </row>
    <row r="6" ht="36" customHeight="1">
      <c r="A6" s="47">
        <f>IF(B6&lt;&gt;"",3,"")</f>
        <v/>
      </c>
      <c r="B6" s="12" t="n"/>
      <c r="C6" s="12" t="n"/>
      <c r="D6" s="48" t="n"/>
      <c r="E6" s="48" t="n"/>
      <c r="F6" s="49" t="n"/>
      <c r="G6" s="50" t="n"/>
      <c r="H6" s="12" t="n"/>
      <c r="I6" s="12" t="n"/>
    </row>
    <row r="7" ht="36" customHeight="1">
      <c r="A7" s="51">
        <f>IF(B7&lt;&gt;"",4,"")</f>
        <v/>
      </c>
      <c r="B7" s="21" t="n"/>
      <c r="C7" s="21" t="n"/>
      <c r="D7" s="52" t="n"/>
      <c r="E7" s="52" t="n"/>
      <c r="F7" s="49" t="n"/>
      <c r="G7" s="50" t="n"/>
      <c r="H7" s="21" t="n"/>
      <c r="I7" s="21" t="n"/>
    </row>
    <row r="8" ht="36" customHeight="1">
      <c r="A8" s="47">
        <f>IF(B8&lt;&gt;"",5,"")</f>
        <v/>
      </c>
      <c r="B8" s="12" t="n"/>
      <c r="C8" s="12" t="n"/>
      <c r="D8" s="48" t="n"/>
      <c r="E8" s="48" t="n"/>
      <c r="F8" s="49" t="n"/>
      <c r="G8" s="50" t="n"/>
      <c r="H8" s="12" t="n"/>
      <c r="I8" s="12" t="n"/>
    </row>
    <row r="9" ht="36" customHeight="1">
      <c r="A9" s="51">
        <f>IF(B9&lt;&gt;"",6,"")</f>
        <v/>
      </c>
      <c r="B9" s="21" t="n"/>
      <c r="C9" s="21" t="n"/>
      <c r="D9" s="52" t="n"/>
      <c r="E9" s="52" t="n"/>
      <c r="F9" s="49" t="n"/>
      <c r="G9" s="50" t="n"/>
      <c r="H9" s="21" t="n"/>
      <c r="I9" s="21" t="n"/>
    </row>
    <row r="10" ht="36" customHeight="1">
      <c r="A10" s="47">
        <f>IF(B10&lt;&gt;"",7,"")</f>
        <v/>
      </c>
      <c r="B10" s="12" t="n"/>
      <c r="C10" s="12" t="n"/>
      <c r="D10" s="48" t="n"/>
      <c r="E10" s="48" t="n"/>
      <c r="F10" s="49" t="n"/>
      <c r="G10" s="50" t="n"/>
      <c r="H10" s="12" t="n"/>
      <c r="I10" s="12" t="n"/>
    </row>
    <row r="11" ht="36" customHeight="1">
      <c r="A11" s="51">
        <f>IF(B11&lt;&gt;"",8,"")</f>
        <v/>
      </c>
      <c r="B11" s="21" t="n"/>
      <c r="C11" s="21" t="n"/>
      <c r="D11" s="52" t="n"/>
      <c r="E11" s="52" t="n"/>
      <c r="F11" s="49" t="n"/>
      <c r="G11" s="50" t="n"/>
      <c r="H11" s="21" t="n"/>
      <c r="I11" s="21" t="n"/>
    </row>
    <row r="12" ht="36" customHeight="1">
      <c r="A12" s="47">
        <f>IF(B12&lt;&gt;"",9,"")</f>
        <v/>
      </c>
      <c r="B12" s="12" t="n"/>
      <c r="C12" s="12" t="n"/>
      <c r="D12" s="48" t="n"/>
      <c r="E12" s="48" t="n"/>
      <c r="F12" s="49" t="n"/>
      <c r="G12" s="50" t="n"/>
      <c r="H12" s="12" t="n"/>
      <c r="I12" s="12" t="n"/>
    </row>
    <row r="13" ht="36" customHeight="1">
      <c r="A13" s="51">
        <f>IF(B13&lt;&gt;"",10,"")</f>
        <v/>
      </c>
      <c r="B13" s="21" t="n"/>
      <c r="C13" s="21" t="n"/>
      <c r="D13" s="52" t="n"/>
      <c r="E13" s="52" t="n"/>
      <c r="F13" s="49" t="n"/>
      <c r="G13" s="50" t="n"/>
      <c r="H13" s="21" t="n"/>
      <c r="I13" s="21" t="n"/>
    </row>
    <row r="14" ht="36" customHeight="1">
      <c r="A14" s="47">
        <f>IF(B14&lt;&gt;"",11,"")</f>
        <v/>
      </c>
      <c r="B14" s="12" t="n"/>
      <c r="C14" s="12" t="n"/>
      <c r="D14" s="48" t="n"/>
      <c r="E14" s="48" t="n"/>
      <c r="F14" s="49" t="n"/>
      <c r="G14" s="50" t="n"/>
      <c r="H14" s="12" t="n"/>
      <c r="I14" s="12" t="n"/>
    </row>
    <row r="15" ht="36" customHeight="1">
      <c r="A15" s="51">
        <f>IF(B15&lt;&gt;"",12,"")</f>
        <v/>
      </c>
      <c r="B15" s="21" t="n"/>
      <c r="C15" s="21" t="n"/>
      <c r="D15" s="52" t="n"/>
      <c r="E15" s="52" t="n"/>
      <c r="F15" s="49" t="n"/>
      <c r="G15" s="50" t="n"/>
      <c r="H15" s="21" t="n"/>
      <c r="I15" s="21" t="n"/>
    </row>
    <row r="16" ht="36" customHeight="1">
      <c r="A16" s="47">
        <f>IF(B16&lt;&gt;"",13,"")</f>
        <v/>
      </c>
      <c r="B16" s="12" t="n"/>
      <c r="C16" s="12" t="n"/>
      <c r="D16" s="48" t="n"/>
      <c r="E16" s="48" t="n"/>
      <c r="F16" s="49" t="n"/>
      <c r="G16" s="50" t="n"/>
      <c r="H16" s="12" t="n"/>
      <c r="I16" s="12" t="n"/>
    </row>
    <row r="17" ht="36" customHeight="1">
      <c r="A17" s="51">
        <f>IF(B17&lt;&gt;"",14,"")</f>
        <v/>
      </c>
      <c r="B17" s="21" t="n"/>
      <c r="C17" s="21" t="n"/>
      <c r="D17" s="52" t="n"/>
      <c r="E17" s="52" t="n"/>
      <c r="F17" s="49" t="n"/>
      <c r="G17" s="50" t="n"/>
      <c r="H17" s="21" t="n"/>
      <c r="I17" s="21" t="n"/>
    </row>
    <row r="18" ht="36" customHeight="1">
      <c r="A18" s="47">
        <f>IF(B18&lt;&gt;"",15,"")</f>
        <v/>
      </c>
      <c r="B18" s="12" t="n"/>
      <c r="C18" s="12" t="n"/>
      <c r="D18" s="48" t="n"/>
      <c r="E18" s="48" t="n"/>
      <c r="F18" s="49" t="n"/>
      <c r="G18" s="50" t="n"/>
      <c r="H18" s="12" t="n"/>
      <c r="I18" s="12" t="n"/>
    </row>
    <row r="19" ht="36" customHeight="1">
      <c r="A19" s="51">
        <f>IF(B19&lt;&gt;"",16,"")</f>
        <v/>
      </c>
      <c r="B19" s="21" t="n"/>
      <c r="C19" s="21" t="n"/>
      <c r="D19" s="52" t="n"/>
      <c r="E19" s="52" t="n"/>
      <c r="F19" s="49" t="n"/>
      <c r="G19" s="50" t="n"/>
      <c r="H19" s="21" t="n"/>
      <c r="I19" s="21" t="n"/>
    </row>
    <row r="20" ht="36" customHeight="1">
      <c r="A20" s="47">
        <f>IF(B20&lt;&gt;"",17,"")</f>
        <v/>
      </c>
      <c r="B20" s="12" t="n"/>
      <c r="C20" s="12" t="n"/>
      <c r="D20" s="48" t="n"/>
      <c r="E20" s="48" t="n"/>
      <c r="F20" s="49" t="n"/>
      <c r="G20" s="50" t="n"/>
      <c r="H20" s="12" t="n"/>
      <c r="I20" s="12" t="n"/>
    </row>
    <row r="21" ht="36" customHeight="1">
      <c r="A21" s="51">
        <f>IF(B21&lt;&gt;"",18,"")</f>
        <v/>
      </c>
      <c r="B21" s="21" t="n"/>
      <c r="C21" s="21" t="n"/>
      <c r="D21" s="52" t="n"/>
      <c r="E21" s="52" t="n"/>
      <c r="F21" s="49" t="n"/>
      <c r="G21" s="50" t="n"/>
      <c r="H21" s="21" t="n"/>
      <c r="I21" s="21" t="n"/>
    </row>
    <row r="22" ht="36" customHeight="1">
      <c r="A22" s="47">
        <f>IF(B22&lt;&gt;"",19,"")</f>
        <v/>
      </c>
      <c r="B22" s="12" t="n"/>
      <c r="C22" s="12" t="n"/>
      <c r="D22" s="48" t="n"/>
      <c r="E22" s="48" t="n"/>
      <c r="F22" s="49" t="n"/>
      <c r="G22" s="50" t="n"/>
      <c r="H22" s="12" t="n"/>
      <c r="I22" s="12" t="n"/>
    </row>
    <row r="23" ht="36" customHeight="1">
      <c r="A23" s="51">
        <f>IF(B23&lt;&gt;"",20,"")</f>
        <v/>
      </c>
      <c r="B23" s="21" t="n"/>
      <c r="C23" s="21" t="n"/>
      <c r="D23" s="52" t="n"/>
      <c r="E23" s="52" t="n"/>
      <c r="F23" s="49" t="n"/>
      <c r="G23" s="50" t="n"/>
      <c r="H23" s="21" t="n"/>
      <c r="I23" s="21" t="n"/>
    </row>
    <row r="24" ht="36" customHeight="1">
      <c r="A24" s="47">
        <f>IF(B24&lt;&gt;"",21,"")</f>
        <v/>
      </c>
      <c r="B24" s="12" t="n"/>
      <c r="C24" s="12" t="n"/>
      <c r="D24" s="48" t="n"/>
      <c r="E24" s="48" t="n"/>
      <c r="F24" s="49" t="n"/>
      <c r="G24" s="50" t="n"/>
      <c r="H24" s="12" t="n"/>
      <c r="I24" s="12" t="n"/>
    </row>
    <row r="25" ht="36" customHeight="1">
      <c r="A25" s="51">
        <f>IF(B25&lt;&gt;"",22,"")</f>
        <v/>
      </c>
      <c r="B25" s="21" t="n"/>
      <c r="C25" s="21" t="n"/>
      <c r="D25" s="52" t="n"/>
      <c r="E25" s="52" t="n"/>
      <c r="F25" s="49" t="n"/>
      <c r="G25" s="50" t="n"/>
      <c r="H25" s="21" t="n"/>
      <c r="I25" s="21" t="n"/>
    </row>
    <row r="26" ht="36" customHeight="1">
      <c r="A26" s="47">
        <f>IF(B26&lt;&gt;"",23,"")</f>
        <v/>
      </c>
      <c r="B26" s="12" t="n"/>
      <c r="C26" s="12" t="n"/>
      <c r="D26" s="48" t="n"/>
      <c r="E26" s="48" t="n"/>
      <c r="F26" s="49" t="n"/>
      <c r="G26" s="50" t="n"/>
      <c r="H26" s="12" t="n"/>
      <c r="I26" s="12" t="n"/>
    </row>
    <row r="27" ht="36" customHeight="1">
      <c r="A27" s="51">
        <f>IF(B27&lt;&gt;"",24,"")</f>
        <v/>
      </c>
      <c r="B27" s="21" t="n"/>
      <c r="C27" s="21" t="n"/>
      <c r="D27" s="52" t="n"/>
      <c r="E27" s="52" t="n"/>
      <c r="F27" s="49" t="n"/>
      <c r="G27" s="50" t="n"/>
      <c r="H27" s="21" t="n"/>
      <c r="I27" s="21" t="n"/>
    </row>
    <row r="28" ht="36" customHeight="1">
      <c r="A28" s="47">
        <f>IF(B28&lt;&gt;"",25,"")</f>
        <v/>
      </c>
      <c r="B28" s="12" t="n"/>
      <c r="C28" s="12" t="n"/>
      <c r="D28" s="48" t="n"/>
      <c r="E28" s="48" t="n"/>
      <c r="F28" s="49" t="n"/>
      <c r="G28" s="50" t="n"/>
      <c r="H28" s="12" t="n"/>
      <c r="I28" s="12" t="n"/>
    </row>
    <row r="29" ht="36" customHeight="1">
      <c r="A29" s="51">
        <f>IF(B29&lt;&gt;"",26,"")</f>
        <v/>
      </c>
      <c r="B29" s="21" t="n"/>
      <c r="C29" s="21" t="n"/>
      <c r="D29" s="52" t="n"/>
      <c r="E29" s="52" t="n"/>
      <c r="F29" s="49" t="n"/>
      <c r="G29" s="50" t="n"/>
      <c r="H29" s="21" t="n"/>
      <c r="I29" s="21" t="n"/>
    </row>
    <row r="30" ht="36" customHeight="1">
      <c r="A30" s="47">
        <f>IF(B30&lt;&gt;"",27,"")</f>
        <v/>
      </c>
      <c r="B30" s="12" t="n"/>
      <c r="C30" s="12" t="n"/>
      <c r="D30" s="48" t="n"/>
      <c r="E30" s="48" t="n"/>
      <c r="F30" s="49" t="n"/>
      <c r="G30" s="50" t="n"/>
      <c r="H30" s="12" t="n"/>
      <c r="I30" s="12" t="n"/>
    </row>
    <row r="31" ht="36" customHeight="1">
      <c r="A31" s="51">
        <f>IF(B31&lt;&gt;"",28,"")</f>
        <v/>
      </c>
      <c r="B31" s="21" t="n"/>
      <c r="C31" s="21" t="n"/>
      <c r="D31" s="52" t="n"/>
      <c r="E31" s="52" t="n"/>
      <c r="F31" s="49" t="n"/>
      <c r="G31" s="50" t="n"/>
      <c r="H31" s="21" t="n"/>
      <c r="I31" s="21" t="n"/>
    </row>
    <row r="32" ht="36" customHeight="1">
      <c r="A32" s="47">
        <f>IF(B32&lt;&gt;"",29,"")</f>
        <v/>
      </c>
      <c r="B32" s="12" t="n"/>
      <c r="C32" s="12" t="n"/>
      <c r="D32" s="48" t="n"/>
      <c r="E32" s="48" t="n"/>
      <c r="F32" s="49" t="n"/>
      <c r="G32" s="50" t="n"/>
      <c r="H32" s="12" t="n"/>
      <c r="I32" s="12" t="n"/>
    </row>
    <row r="33" ht="36" customHeight="1">
      <c r="A33" s="51">
        <f>IF(B33&lt;&gt;"",30,"")</f>
        <v/>
      </c>
      <c r="B33" s="21" t="n"/>
      <c r="C33" s="21" t="n"/>
      <c r="D33" s="52" t="n"/>
      <c r="E33" s="52" t="n"/>
      <c r="F33" s="49" t="n"/>
      <c r="G33" s="50" t="n"/>
      <c r="H33" s="21" t="n"/>
      <c r="I33" s="21" t="n"/>
    </row>
    <row r="34" ht="36" customHeight="1">
      <c r="A34" s="47">
        <f>IF(B34&lt;&gt;"",31,"")</f>
        <v/>
      </c>
      <c r="B34" s="12" t="n"/>
      <c r="C34" s="12" t="n"/>
      <c r="D34" s="48" t="n"/>
      <c r="E34" s="48" t="n"/>
      <c r="F34" s="49" t="n"/>
      <c r="G34" s="50" t="n"/>
      <c r="H34" s="12" t="n"/>
      <c r="I34" s="12" t="n"/>
    </row>
    <row r="35" ht="36" customHeight="1">
      <c r="A35" s="51">
        <f>IF(B35&lt;&gt;"",32,"")</f>
        <v/>
      </c>
      <c r="B35" s="21" t="n"/>
      <c r="C35" s="21" t="n"/>
      <c r="D35" s="52" t="n"/>
      <c r="E35" s="52" t="n"/>
      <c r="F35" s="49" t="n"/>
      <c r="G35" s="50" t="n"/>
      <c r="H35" s="21" t="n"/>
      <c r="I35" s="21" t="n"/>
    </row>
    <row r="36" ht="36" customHeight="1">
      <c r="A36" s="47">
        <f>IF(B36&lt;&gt;"",33,"")</f>
        <v/>
      </c>
      <c r="B36" s="12" t="n"/>
      <c r="C36" s="12" t="n"/>
      <c r="D36" s="48" t="n"/>
      <c r="E36" s="48" t="n"/>
      <c r="F36" s="49" t="n"/>
      <c r="G36" s="50" t="n"/>
      <c r="H36" s="12" t="n"/>
      <c r="I36" s="12" t="n"/>
    </row>
    <row r="37" ht="36" customHeight="1">
      <c r="A37" s="51">
        <f>IF(B37&lt;&gt;"",34,"")</f>
        <v/>
      </c>
      <c r="B37" s="21" t="n"/>
      <c r="C37" s="21" t="n"/>
      <c r="D37" s="52" t="n"/>
      <c r="E37" s="52" t="n"/>
      <c r="F37" s="49" t="n"/>
      <c r="G37" s="50" t="n"/>
      <c r="H37" s="21" t="n"/>
      <c r="I37" s="21" t="n"/>
    </row>
    <row r="38" ht="36" customHeight="1">
      <c r="A38" s="47">
        <f>IF(B38&lt;&gt;"",35,"")</f>
        <v/>
      </c>
      <c r="B38" s="12" t="n"/>
      <c r="C38" s="12" t="n"/>
      <c r="D38" s="48" t="n"/>
      <c r="E38" s="48" t="n"/>
      <c r="F38" s="49" t="n"/>
      <c r="G38" s="50" t="n"/>
      <c r="H38" s="12" t="n"/>
      <c r="I38" s="12" t="n"/>
    </row>
    <row r="39" ht="36" customHeight="1">
      <c r="A39" s="51">
        <f>IF(B39&lt;&gt;"",36,"")</f>
        <v/>
      </c>
      <c r="B39" s="21" t="n"/>
      <c r="C39" s="21" t="n"/>
      <c r="D39" s="52" t="n"/>
      <c r="E39" s="52" t="n"/>
      <c r="F39" s="49" t="n"/>
      <c r="G39" s="50" t="n"/>
      <c r="H39" s="21" t="n"/>
      <c r="I39" s="21" t="n"/>
    </row>
    <row r="40" ht="36" customHeight="1">
      <c r="A40" s="47">
        <f>IF(B40&lt;&gt;"",37,"")</f>
        <v/>
      </c>
      <c r="B40" s="12" t="n"/>
      <c r="C40" s="12" t="n"/>
      <c r="D40" s="48" t="n"/>
      <c r="E40" s="48" t="n"/>
      <c r="F40" s="49" t="n"/>
      <c r="G40" s="50" t="n"/>
      <c r="H40" s="12" t="n"/>
      <c r="I40" s="12" t="n"/>
    </row>
    <row r="41" ht="36" customHeight="1">
      <c r="A41" s="51">
        <f>IF(B41&lt;&gt;"",38,"")</f>
        <v/>
      </c>
      <c r="B41" s="21" t="n"/>
      <c r="C41" s="21" t="n"/>
      <c r="D41" s="52" t="n"/>
      <c r="E41" s="52" t="n"/>
      <c r="F41" s="49" t="n"/>
      <c r="G41" s="50" t="n"/>
      <c r="H41" s="21" t="n"/>
      <c r="I41" s="21" t="n"/>
    </row>
    <row r="42" ht="36" customHeight="1">
      <c r="A42" s="47">
        <f>IF(B42&lt;&gt;"",39,"")</f>
        <v/>
      </c>
      <c r="B42" s="12" t="n"/>
      <c r="C42" s="12" t="n"/>
      <c r="D42" s="48" t="n"/>
      <c r="E42" s="48" t="n"/>
      <c r="F42" s="49" t="n"/>
      <c r="G42" s="50" t="n"/>
      <c r="H42" s="12" t="n"/>
      <c r="I42" s="12" t="n"/>
    </row>
    <row r="43" ht="36" customHeight="1">
      <c r="A43" s="51">
        <f>IF(B43&lt;&gt;"",40,"")</f>
        <v/>
      </c>
      <c r="B43" s="21" t="n"/>
      <c r="C43" s="21" t="n"/>
      <c r="D43" s="52" t="n"/>
      <c r="E43" s="52" t="n"/>
      <c r="F43" s="49" t="n"/>
      <c r="G43" s="50" t="n"/>
      <c r="H43" s="21" t="n"/>
      <c r="I43" s="21" t="n"/>
    </row>
    <row r="44" ht="36" customHeight="1">
      <c r="A44" s="47">
        <f>IF(B44&lt;&gt;"",41,"")</f>
        <v/>
      </c>
      <c r="B44" s="12" t="n"/>
      <c r="C44" s="12" t="n"/>
      <c r="D44" s="48" t="n"/>
      <c r="E44" s="48" t="n"/>
      <c r="F44" s="49" t="n"/>
      <c r="G44" s="50" t="n"/>
      <c r="H44" s="12" t="n"/>
      <c r="I44" s="12" t="n"/>
    </row>
    <row r="45" ht="36" customHeight="1">
      <c r="A45" s="51">
        <f>IF(B45&lt;&gt;"",42,"")</f>
        <v/>
      </c>
      <c r="B45" s="21" t="n"/>
      <c r="C45" s="21" t="n"/>
      <c r="D45" s="52" t="n"/>
      <c r="E45" s="52" t="n"/>
      <c r="F45" s="49" t="n"/>
      <c r="G45" s="50" t="n"/>
      <c r="H45" s="21" t="n"/>
      <c r="I45" s="21" t="n"/>
    </row>
    <row r="46" ht="36" customHeight="1">
      <c r="A46" s="47">
        <f>IF(B46&lt;&gt;"",43,"")</f>
        <v/>
      </c>
      <c r="B46" s="12" t="n"/>
      <c r="C46" s="12" t="n"/>
      <c r="D46" s="48" t="n"/>
      <c r="E46" s="48" t="n"/>
      <c r="F46" s="49" t="n"/>
      <c r="G46" s="50" t="n"/>
      <c r="H46" s="12" t="n"/>
      <c r="I46" s="12" t="n"/>
    </row>
    <row r="47" ht="36" customHeight="1">
      <c r="A47" s="51">
        <f>IF(B47&lt;&gt;"",44,"")</f>
        <v/>
      </c>
      <c r="B47" s="21" t="n"/>
      <c r="C47" s="21" t="n"/>
      <c r="D47" s="52" t="n"/>
      <c r="E47" s="52" t="n"/>
      <c r="F47" s="49" t="n"/>
      <c r="G47" s="50" t="n"/>
      <c r="H47" s="21" t="n"/>
      <c r="I47" s="21" t="n"/>
    </row>
    <row r="48" ht="36" customHeight="1">
      <c r="A48" s="47">
        <f>IF(B48&lt;&gt;"",45,"")</f>
        <v/>
      </c>
      <c r="B48" s="12" t="n"/>
      <c r="C48" s="12" t="n"/>
      <c r="D48" s="48" t="n"/>
      <c r="E48" s="48" t="n"/>
      <c r="F48" s="49" t="n"/>
      <c r="G48" s="50" t="n"/>
      <c r="H48" s="12" t="n"/>
      <c r="I48" s="12" t="n"/>
    </row>
    <row r="49" ht="36" customHeight="1">
      <c r="A49" s="51">
        <f>IF(B49&lt;&gt;"",46,"")</f>
        <v/>
      </c>
      <c r="B49" s="21" t="n"/>
      <c r="C49" s="21" t="n"/>
      <c r="D49" s="52" t="n"/>
      <c r="E49" s="52" t="n"/>
      <c r="F49" s="49" t="n"/>
      <c r="G49" s="50" t="n"/>
      <c r="H49" s="21" t="n"/>
      <c r="I49" s="21" t="n"/>
    </row>
    <row r="50" ht="36" customHeight="1">
      <c r="A50" s="47">
        <f>IF(B50&lt;&gt;"",47,"")</f>
        <v/>
      </c>
      <c r="B50" s="12" t="n"/>
      <c r="C50" s="12" t="n"/>
      <c r="D50" s="48" t="n"/>
      <c r="E50" s="48" t="n"/>
      <c r="F50" s="49" t="n"/>
      <c r="G50" s="50" t="n"/>
      <c r="H50" s="12" t="n"/>
      <c r="I50" s="12" t="n"/>
    </row>
    <row r="51" ht="36" customHeight="1">
      <c r="A51" s="51">
        <f>IF(B51&lt;&gt;"",48,"")</f>
        <v/>
      </c>
      <c r="B51" s="21" t="n"/>
      <c r="C51" s="21" t="n"/>
      <c r="D51" s="52" t="n"/>
      <c r="E51" s="52" t="n"/>
      <c r="F51" s="49" t="n"/>
      <c r="G51" s="50" t="n"/>
      <c r="H51" s="21" t="n"/>
      <c r="I51" s="21" t="n"/>
    </row>
    <row r="52" ht="36" customHeight="1">
      <c r="A52" s="47">
        <f>IF(B52&lt;&gt;"",49,"")</f>
        <v/>
      </c>
      <c r="B52" s="12" t="n"/>
      <c r="C52" s="12" t="n"/>
      <c r="D52" s="48" t="n"/>
      <c r="E52" s="48" t="n"/>
      <c r="F52" s="49" t="n"/>
      <c r="G52" s="50" t="n"/>
      <c r="H52" s="12" t="n"/>
      <c r="I52" s="12" t="n"/>
    </row>
    <row r="53" ht="36" customHeight="1">
      <c r="A53" s="51">
        <f>IF(B53&lt;&gt;"",50,"")</f>
        <v/>
      </c>
      <c r="B53" s="21" t="n"/>
      <c r="C53" s="21" t="n"/>
      <c r="D53" s="52" t="n"/>
      <c r="E53" s="52" t="n"/>
      <c r="F53" s="49" t="n"/>
      <c r="G53" s="50" t="n"/>
      <c r="H53" s="21" t="n"/>
      <c r="I53" s="21" t="n"/>
    </row>
  </sheetData>
  <autoFilter ref="A3:I53"/>
  <mergeCells count="2">
    <mergeCell ref="A1:I1"/>
    <mergeCell ref="A2:I2"/>
  </mergeCells>
  <dataValidations count="3">
    <dataValidation sqref="F4:F200" showDropDown="0" showInputMessage="0" showErrorMessage="0" allowBlank="0" type="list">
      <formula1>"BUG,EVOLUTION,QUESTION,BLOCANT"</formula1>
      <formula2>0</formula2>
    </dataValidation>
    <dataValidation sqref="G4:G200" showDropDown="0" showInputMessage="0" showErrorMessage="0" allowBlank="0" type="list">
      <formula1>"BLOQUANT,HAUTE,NORMALE,BASSE"</formula1>
      <formula2>0</formula2>
    </dataValidation>
    <dataValidation sqref="H4:H200" showDropDown="0" showInputMessage="0" showErrorMessage="0" allowBlank="0" type="list">
      <formula1>"OUVERT,EN COURS,CORRIGE,REPORTE,INVALIDE"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1565C0"/>
    <outlinePr summaryBelow="1" summaryRight="1"/>
    <pageSetUpPr/>
  </sheetPr>
  <dimension ref="A1:C33"/>
  <sheetViews>
    <sheetView showGridLines="0" topLeftCell="A18" zoomScaleNormal="100" workbookViewId="0">
      <selection activeCell="L15" sqref="L15"/>
    </sheetView>
  </sheetViews>
  <sheetFormatPr baseColWidth="10" defaultColWidth="8.6640625" defaultRowHeight="14.4"/>
  <cols>
    <col width="5" customWidth="1" min="1" max="1"/>
    <col width="33.77734375" bestFit="1" customWidth="1" min="2" max="2"/>
    <col width="57.109375" bestFit="1" customWidth="1" min="3" max="3"/>
  </cols>
  <sheetData>
    <row r="1" ht="31.5" customHeight="1">
      <c r="A1" s="2" t="inlineStr">
        <is>
          <t>CGI 242 — Guide d'utilisation du fichier de tests</t>
        </is>
      </c>
    </row>
    <row r="2" ht="7.5" customHeight="1"/>
    <row r="3" ht="21.75" customHeight="1">
      <c r="A3" s="1" t="inlineStr">
        <is>
          <t xml:space="preserve">  🎯  COMMENT UTILISER CE FICHIER</t>
        </is>
      </c>
    </row>
    <row r="4" ht="18" customHeight="1">
      <c r="B4" s="53" t="inlineStr">
        <is>
          <t>1. Aller dans la feuille '🧪 Tests'</t>
        </is>
      </c>
      <c r="C4" s="54" t="inlineStr">
        <is>
          <t>C'est ici que vous exécutez les tests un par un</t>
        </is>
      </c>
    </row>
    <row r="5" ht="18" customHeight="1">
      <c r="B5" s="53" t="inlineStr">
        <is>
          <t>2. Lire les colonnes D et E</t>
        </is>
      </c>
      <c r="C5" s="54" t="inlineStr">
        <is>
          <t>Actions à effectuer et résultat attendu pour chaque test</t>
        </is>
      </c>
    </row>
    <row r="6" ht="18" customHeight="1">
      <c r="B6" s="53" t="inlineStr">
        <is>
          <t>3. Changer le STATUT (colonne G)</t>
        </is>
      </c>
      <c r="C6" s="54" t="inlineStr">
        <is>
          <t>Cliquer sur la cellule → choisir dans la liste déroulante</t>
        </is>
      </c>
    </row>
    <row r="7" ht="18" customHeight="1">
      <c r="B7" s="53" t="inlineStr">
        <is>
          <t>4. Remplir la date de test (colonne H)</t>
        </is>
      </c>
      <c r="C7" s="54" t="inlineStr">
        <is>
          <t>Indiquer la date à laquelle vous avez exécuté le test</t>
        </is>
      </c>
    </row>
    <row r="8" ht="18" customHeight="1">
      <c r="B8" s="53" t="inlineStr">
        <is>
          <t>5. Écrire les bugs (colonne I)</t>
        </is>
      </c>
      <c r="C8" s="54" t="inlineStr">
        <is>
          <t>Décrivez le comportement observé si FAIL ou PARTIEL</t>
        </is>
      </c>
    </row>
    <row r="9" ht="18" customHeight="1">
      <c r="B9" s="53" t="inlineStr">
        <is>
          <t>6. Écrire les évolutions (colonne J)</t>
        </is>
      </c>
      <c r="C9" s="54" t="inlineStr">
        <is>
          <t>Notez toute idée d'amélioration ou fonctionnalité manquante</t>
        </is>
      </c>
    </row>
    <row r="10" ht="18" customHeight="1">
      <c r="B10" s="53" t="inlineStr">
        <is>
          <t>7. Consulter le Tableau de Bord</t>
        </is>
      </c>
      <c r="C10" s="54" t="inlineStr">
        <is>
          <t>La feuille '📊 Tableau de Bord' se met à jour automatiquement</t>
        </is>
      </c>
    </row>
    <row r="11" ht="18" customHeight="1">
      <c r="B11" s="53" t="inlineStr">
        <is>
          <t>8. Reporter les bugs dans '🐛 Bugs'</t>
        </is>
      </c>
      <c r="C11" s="54" t="inlineStr">
        <is>
          <t>Consignez les bugs détectés dans le registre dédié</t>
        </is>
      </c>
    </row>
    <row r="12" ht="7.5" customHeight="1"/>
    <row r="13" ht="21.75" customHeight="1">
      <c r="A13" s="1" t="inlineStr">
        <is>
          <t xml:space="preserve">  📊  TABLEAU DE BORD</t>
        </is>
      </c>
    </row>
    <row r="14" ht="18" customHeight="1">
      <c r="B14" s="53" t="inlineStr">
        <is>
          <t>Mise à jour automatique</t>
        </is>
      </c>
      <c r="C14" s="54" t="inlineStr">
        <is>
          <t>Les compteurs PASS/FAIL/PARTIEL se calculent en temps réel</t>
        </is>
      </c>
    </row>
    <row r="15" ht="18" customHeight="1">
      <c r="B15" s="53" t="inlineStr">
        <is>
          <t>% Avancement</t>
        </is>
      </c>
      <c r="C15" s="54" t="inlineStr">
        <is>
          <t>Calculé automatiquement selon les tests PASS + PARTIEL × 50%</t>
        </is>
      </c>
    </row>
    <row r="16" ht="18" customHeight="1">
      <c r="B16" s="53" t="inlineStr">
        <is>
          <t>Filtres disponibles</t>
        </is>
      </c>
      <c r="C16" s="54" t="inlineStr">
        <is>
          <t>Utilisez les filtres de la feuille Tests pour travailler module par module</t>
        </is>
      </c>
    </row>
    <row r="17" ht="7.5" customHeight="1"/>
    <row r="18" ht="21.75" customHeight="1">
      <c r="A18" s="1" t="inlineStr">
        <is>
          <t xml:space="preserve">  🔵  CODES PRIORITÉ</t>
        </is>
      </c>
    </row>
    <row r="19" ht="18" customHeight="1">
      <c r="B19" s="53" t="inlineStr">
        <is>
          <t>CRITIQUE</t>
        </is>
      </c>
      <c r="C19" s="54" t="inlineStr">
        <is>
          <t>À tester en PREMIER — bloque la mise en production si FAIL</t>
        </is>
      </c>
    </row>
    <row r="20" ht="18" customHeight="1">
      <c r="B20" s="53" t="inlineStr">
        <is>
          <t>HAUTE</t>
        </is>
      </c>
      <c r="C20" s="54" t="inlineStr">
        <is>
          <t>À tester avant la mise en production</t>
        </is>
      </c>
    </row>
    <row r="21" ht="18" customHeight="1">
      <c r="B21" s="53" t="inlineStr">
        <is>
          <t>NORMALE</t>
        </is>
      </c>
      <c r="C21" s="54" t="inlineStr">
        <is>
          <t>À tester lors des tests complets</t>
        </is>
      </c>
    </row>
    <row r="22" ht="18" customHeight="1">
      <c r="B22" s="53" t="inlineStr">
        <is>
          <t>BASSE</t>
        </is>
      </c>
      <c r="C22" s="54" t="inlineStr">
        <is>
          <t>Peut être testé après la mise en production</t>
        </is>
      </c>
    </row>
    <row r="23" ht="7.5" customHeight="1"/>
    <row r="24" ht="21.75" customHeight="1">
      <c r="A24" s="1" t="inlineStr">
        <is>
          <t xml:space="preserve">  🐛  REGISTRE BUGS</t>
        </is>
      </c>
    </row>
    <row r="25" ht="18" customHeight="1">
      <c r="B25" s="53" t="inlineStr">
        <is>
          <t>Type BUG</t>
        </is>
      </c>
      <c r="C25" s="54" t="inlineStr">
        <is>
          <t>Comportement anormal, crash, erreur d'affichage</t>
        </is>
      </c>
    </row>
    <row r="26" ht="18" customHeight="1">
      <c r="B26" s="53" t="inlineStr">
        <is>
          <t>Type EVOLUTION</t>
        </is>
      </c>
      <c r="C26" s="54" t="inlineStr">
        <is>
          <t>Fonctionnalité absente ou à améliorer</t>
        </is>
      </c>
    </row>
    <row r="27" ht="18" customHeight="1">
      <c r="B27" s="53" t="inlineStr">
        <is>
          <t>Type QUESTION</t>
        </is>
      </c>
      <c r="C27" s="54" t="inlineStr">
        <is>
          <t>Point à clarifier avec l'équipe technique</t>
        </is>
      </c>
    </row>
    <row r="28" ht="18" customHeight="1">
      <c r="B28" s="53" t="inlineStr">
        <is>
          <t>Type BLOCANT</t>
        </is>
      </c>
      <c r="C28" s="54" t="inlineStr">
        <is>
          <t>Empêche complètement l'utilisation de la fonctionnalité</t>
        </is>
      </c>
    </row>
    <row r="29" ht="7.5" customHeight="1"/>
    <row r="30" ht="21.75" customHeight="1">
      <c r="A30" s="1" t="inlineStr">
        <is>
          <t xml:space="preserve">  ✅  CRITÈRES MISE EN PRODUCTION</t>
        </is>
      </c>
    </row>
    <row r="31" ht="18" customHeight="1">
      <c r="B31" s="53" t="inlineStr">
        <is>
          <t>Minimum requis</t>
        </is>
      </c>
      <c r="C31" s="54" t="inlineStr">
        <is>
          <t>100% des tests CRITIQUE en PASS ou N/A</t>
        </is>
      </c>
    </row>
    <row r="32" ht="18" customHeight="1">
      <c r="B32" s="53" t="inlineStr">
        <is>
          <t>Recommandé</t>
        </is>
      </c>
      <c r="C32" s="54" t="inlineStr">
        <is>
          <t>80% de tous les tests en PASS</t>
        </is>
      </c>
    </row>
    <row r="33" ht="18" customHeight="1">
      <c r="B33" s="53" t="inlineStr">
        <is>
          <t>Aucun bug BLOQUANT</t>
        </is>
      </c>
      <c r="C33" s="54" t="inlineStr">
        <is>
          <t>Tous les bugs BLOQUANT doivent être CORRIGE avant lancement</t>
        </is>
      </c>
    </row>
  </sheetData>
  <mergeCells count="6">
    <mergeCell ref="A13:C13"/>
    <mergeCell ref="A1:C1"/>
    <mergeCell ref="A18:C18"/>
    <mergeCell ref="A3:C3"/>
    <mergeCell ref="A30:C30"/>
    <mergeCell ref="A24:C24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2026-03-23T21:04:26Z</dcterms:created>
  <dcterms:modified xmlns:dcterms="http://purl.org/dc/terms/" xmlns:xsi="http://www.w3.org/2001/XMLSchema-instance" xsi:type="dcterms:W3CDTF">2026-03-24T05:13:53Z</dcterms:modified>
  <cp:lastModifiedBy>MABIKA Mecene</cp:lastModifiedBy>
  <cp:revision>0</cp:revision>
</cp:coreProperties>
</file>